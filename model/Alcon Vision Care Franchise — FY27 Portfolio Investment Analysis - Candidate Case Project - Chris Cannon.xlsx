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9f06ca146974bb3/Documents/Job Search/Resumes and Interviews/Portfolio Projects/Alcon Financial Model Project/"/>
    </mc:Choice>
  </mc:AlternateContent>
  <xr:revisionPtr revIDLastSave="808" documentId="8_{3090E569-4ADD-4616-B8CC-B2E775469937}" xr6:coauthVersionLast="47" xr6:coauthVersionMax="47" xr10:uidLastSave="{301CF200-59DF-4A55-9751-52D621CF5AEE}"/>
  <bookViews>
    <workbookView xWindow="-28920" yWindow="-120" windowWidth="29040" windowHeight="17520" xr2:uid="{FE191EE2-95DB-4035-9227-9DE975650434}"/>
  </bookViews>
  <sheets>
    <sheet name="Cover_Assumptions" sheetId="1" r:id="rId1"/>
    <sheet name="Option_A_Tryptyr" sheetId="2" r:id="rId2"/>
    <sheet name="Option_B_LensExpansion" sheetId="3" r:id="rId3"/>
    <sheet name="Portfolio_Compariso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53" i="2" l="1"/>
  <c r="G53" i="2" s="1"/>
  <c r="C53" i="2"/>
  <c r="D53" i="2"/>
  <c r="E53" i="2"/>
  <c r="F53" i="2"/>
  <c r="B54" i="2"/>
  <c r="G54" i="2" s="1"/>
  <c r="C54" i="2"/>
  <c r="D54" i="2"/>
  <c r="E54" i="2"/>
  <c r="F54" i="2"/>
  <c r="B45" i="3"/>
  <c r="G45" i="3" s="1"/>
  <c r="H33" i="3" s="1"/>
  <c r="C45" i="3"/>
  <c r="D45" i="3"/>
  <c r="E45" i="3"/>
  <c r="F45" i="3"/>
  <c r="B52" i="2"/>
  <c r="G52" i="2" s="1"/>
  <c r="C52" i="2"/>
  <c r="D52" i="2"/>
  <c r="E52" i="2"/>
  <c r="F52" i="2"/>
  <c r="B51" i="2"/>
  <c r="C51" i="2"/>
  <c r="G51" i="2" s="1"/>
  <c r="D51" i="2"/>
  <c r="E51" i="2"/>
  <c r="F51" i="2"/>
  <c r="B50" i="2"/>
  <c r="G50" i="2" s="1"/>
  <c r="C50" i="2"/>
  <c r="D50" i="2"/>
  <c r="E50" i="2"/>
  <c r="F50" i="2"/>
  <c r="B21" i="3"/>
  <c r="C19" i="3"/>
  <c r="D19" i="3" s="1"/>
  <c r="B12" i="3"/>
  <c r="B13" i="3" s="1"/>
  <c r="B44" i="3" s="1"/>
  <c r="B9" i="3"/>
  <c r="B11" i="3" s="1"/>
  <c r="C8" i="3"/>
  <c r="D8" i="3" s="1"/>
  <c r="B22" i="2"/>
  <c r="C20" i="2"/>
  <c r="D20" i="2" s="1"/>
  <c r="E20" i="2" s="1"/>
  <c r="F20" i="2" s="1"/>
  <c r="F22" i="2" s="1"/>
  <c r="B12" i="2"/>
  <c r="B14" i="2" s="1"/>
  <c r="B48" i="2" s="1"/>
  <c r="C8" i="2"/>
  <c r="D8" i="2" s="1"/>
  <c r="B9" i="2"/>
  <c r="J38" i="2" l="1"/>
  <c r="J35" i="2"/>
  <c r="J32" i="2"/>
  <c r="J40" i="2"/>
  <c r="J34" i="2"/>
  <c r="J37" i="2"/>
  <c r="J36" i="2"/>
  <c r="J33" i="2"/>
  <c r="J31" i="2"/>
  <c r="J39" i="2"/>
  <c r="L36" i="2"/>
  <c r="L33" i="2"/>
  <c r="L31" i="2"/>
  <c r="L32" i="2"/>
  <c r="L37" i="2"/>
  <c r="L38" i="2"/>
  <c r="L40" i="2"/>
  <c r="L35" i="2"/>
  <c r="L34" i="2"/>
  <c r="L39" i="2"/>
  <c r="I35" i="2"/>
  <c r="I32" i="2"/>
  <c r="I40" i="2"/>
  <c r="I39" i="2"/>
  <c r="I37" i="2"/>
  <c r="I36" i="2"/>
  <c r="I34" i="2"/>
  <c r="I33" i="2"/>
  <c r="I31" i="2"/>
  <c r="I38" i="2"/>
  <c r="H32" i="2"/>
  <c r="H40" i="2"/>
  <c r="H37" i="2"/>
  <c r="H36" i="2"/>
  <c r="H34" i="2"/>
  <c r="H33" i="2"/>
  <c r="H31" i="2"/>
  <c r="H39" i="2"/>
  <c r="H38" i="2"/>
  <c r="H35" i="2"/>
  <c r="K33" i="2"/>
  <c r="K31" i="2"/>
  <c r="K38" i="2"/>
  <c r="K34" i="2"/>
  <c r="K35" i="2"/>
  <c r="K37" i="2"/>
  <c r="K32" i="2"/>
  <c r="K40" i="2"/>
  <c r="K39" i="2"/>
  <c r="K36" i="2"/>
  <c r="H34" i="3"/>
  <c r="H35" i="3"/>
  <c r="H31" i="3"/>
  <c r="H32" i="3"/>
  <c r="H30" i="3"/>
  <c r="B15" i="3"/>
  <c r="B16" i="3" s="1"/>
  <c r="B17" i="3" s="1"/>
  <c r="B22" i="3" s="1"/>
  <c r="B23" i="3" s="1"/>
  <c r="C21" i="3"/>
  <c r="B42" i="3"/>
  <c r="C22" i="2"/>
  <c r="E19" i="3"/>
  <c r="D21" i="3"/>
  <c r="E8" i="3"/>
  <c r="E11" i="3" s="1"/>
  <c r="D40" i="3"/>
  <c r="D13" i="3"/>
  <c r="D42" i="3" s="1"/>
  <c r="B43" i="3"/>
  <c r="C13" i="3"/>
  <c r="C41" i="3" s="1"/>
  <c r="B40" i="3"/>
  <c r="B41" i="3"/>
  <c r="E8" i="2"/>
  <c r="D11" i="2"/>
  <c r="D22" i="2"/>
  <c r="C14" i="2"/>
  <c r="C49" i="2" s="1"/>
  <c r="B45" i="2"/>
  <c r="B49" i="2"/>
  <c r="B47" i="2"/>
  <c r="E22" i="2"/>
  <c r="B46" i="2"/>
  <c r="D11" i="3"/>
  <c r="D15" i="3" s="1"/>
  <c r="C11" i="3"/>
  <c r="D14" i="2"/>
  <c r="D45" i="2" s="1"/>
  <c r="C11" i="2"/>
  <c r="B11" i="2"/>
  <c r="B16" i="2" s="1"/>
  <c r="D43" i="3" l="1"/>
  <c r="D41" i="3"/>
  <c r="D44" i="3"/>
  <c r="C44" i="3"/>
  <c r="C16" i="2"/>
  <c r="C17" i="2" s="1"/>
  <c r="C18" i="2" s="1"/>
  <c r="C23" i="2" s="1"/>
  <c r="C48" i="2"/>
  <c r="C47" i="2"/>
  <c r="C45" i="2"/>
  <c r="F8" i="3"/>
  <c r="E13" i="3"/>
  <c r="E15" i="3" s="1"/>
  <c r="E16" i="3" s="1"/>
  <c r="E17" i="3" s="1"/>
  <c r="E22" i="3" s="1"/>
  <c r="E40" i="3"/>
  <c r="E41" i="3"/>
  <c r="C40" i="3"/>
  <c r="C15" i="3"/>
  <c r="C16" i="3" s="1"/>
  <c r="C17" i="3" s="1"/>
  <c r="C22" i="3" s="1"/>
  <c r="C23" i="3" s="1"/>
  <c r="C42" i="3"/>
  <c r="C43" i="3"/>
  <c r="F19" i="3"/>
  <c r="F21" i="3" s="1"/>
  <c r="E21" i="3"/>
  <c r="F8" i="2"/>
  <c r="E14" i="2"/>
  <c r="E48" i="2" s="1"/>
  <c r="D16" i="2"/>
  <c r="D47" i="2"/>
  <c r="C46" i="2"/>
  <c r="D49" i="2"/>
  <c r="E11" i="2"/>
  <c r="D46" i="2"/>
  <c r="D48" i="2"/>
  <c r="D16" i="3"/>
  <c r="D17" i="3" s="1"/>
  <c r="D22" i="3" s="1"/>
  <c r="D17" i="2"/>
  <c r="D18" i="2" s="1"/>
  <c r="D23" i="2" s="1"/>
  <c r="B17" i="2"/>
  <c r="B18" i="2" s="1"/>
  <c r="B23" i="2" s="1"/>
  <c r="B24" i="2" s="1"/>
  <c r="E44" i="3" l="1"/>
  <c r="E47" i="2"/>
  <c r="E45" i="2"/>
  <c r="E49" i="2"/>
  <c r="E16" i="2"/>
  <c r="E17" i="2" s="1"/>
  <c r="E18" i="2" s="1"/>
  <c r="E23" i="2" s="1"/>
  <c r="E46" i="2"/>
  <c r="D23" i="3"/>
  <c r="E23" i="3" s="1"/>
  <c r="C24" i="2"/>
  <c r="D24" i="2" s="1"/>
  <c r="E24" i="2" s="1"/>
  <c r="F13" i="3"/>
  <c r="F40" i="3" s="1"/>
  <c r="G40" i="3" s="1"/>
  <c r="F41" i="3"/>
  <c r="G41" i="3" s="1"/>
  <c r="F11" i="3"/>
  <c r="F15" i="3" s="1"/>
  <c r="F16" i="3" s="1"/>
  <c r="F17" i="3" s="1"/>
  <c r="F22" i="3" s="1"/>
  <c r="B25" i="3" s="1"/>
  <c r="B29" i="3" s="1"/>
  <c r="E42" i="3"/>
  <c r="E43" i="3"/>
  <c r="F14" i="2"/>
  <c r="F48" i="2" s="1"/>
  <c r="G48" i="2" s="1"/>
  <c r="F49" i="2"/>
  <c r="G49" i="2" s="1"/>
  <c r="F11" i="2"/>
  <c r="F35" i="2" l="1"/>
  <c r="F39" i="2"/>
  <c r="F34" i="2"/>
  <c r="F36" i="2"/>
  <c r="F40" i="2"/>
  <c r="F37" i="2"/>
  <c r="F38" i="2"/>
  <c r="F32" i="2"/>
  <c r="F31" i="2"/>
  <c r="F33" i="2"/>
  <c r="G34" i="2"/>
  <c r="G38" i="2"/>
  <c r="G35" i="2"/>
  <c r="G39" i="2"/>
  <c r="G33" i="2"/>
  <c r="G37" i="2"/>
  <c r="G32" i="2"/>
  <c r="G36" i="2"/>
  <c r="G40" i="2"/>
  <c r="G31" i="2"/>
  <c r="D34" i="3"/>
  <c r="D33" i="3"/>
  <c r="D30" i="3"/>
  <c r="D31" i="3"/>
  <c r="D35" i="3"/>
  <c r="D32" i="3"/>
  <c r="C33" i="3"/>
  <c r="C34" i="3"/>
  <c r="C30" i="3"/>
  <c r="C32" i="3"/>
  <c r="C31" i="3"/>
  <c r="C35" i="3"/>
  <c r="F43" i="3"/>
  <c r="F42" i="3"/>
  <c r="G42" i="3" s="1"/>
  <c r="F44" i="3"/>
  <c r="G44" i="3" s="1"/>
  <c r="F47" i="2"/>
  <c r="G47" i="2" s="1"/>
  <c r="F45" i="2"/>
  <c r="G45" i="2" s="1"/>
  <c r="F46" i="2"/>
  <c r="G46" i="2" s="1"/>
  <c r="F16" i="2"/>
  <c r="F17" i="2" s="1"/>
  <c r="F18" i="2" s="1"/>
  <c r="F23" i="2" s="1"/>
  <c r="B26" i="2" s="1"/>
  <c r="B30" i="2" s="1"/>
  <c r="F23" i="3"/>
  <c r="G43" i="3"/>
  <c r="D32" i="2" l="1"/>
  <c r="D36" i="2"/>
  <c r="D40" i="2"/>
  <c r="D33" i="2"/>
  <c r="D37" i="2"/>
  <c r="D38" i="2"/>
  <c r="D31" i="2"/>
  <c r="D35" i="2"/>
  <c r="D34" i="2"/>
  <c r="D39" i="2"/>
  <c r="C32" i="2"/>
  <c r="C36" i="2"/>
  <c r="C40" i="2"/>
  <c r="C31" i="2"/>
  <c r="C39" i="2"/>
  <c r="C33" i="2"/>
  <c r="C37" i="2"/>
  <c r="C35" i="2"/>
  <c r="C34" i="2"/>
  <c r="C38" i="2"/>
  <c r="E35" i="2"/>
  <c r="E39" i="2"/>
  <c r="E31" i="2"/>
  <c r="E32" i="2"/>
  <c r="E36" i="2"/>
  <c r="E40" i="2"/>
  <c r="E33" i="2"/>
  <c r="E37" i="2"/>
  <c r="E34" i="2"/>
  <c r="E38" i="2"/>
  <c r="G31" i="3"/>
  <c r="G35" i="3"/>
  <c r="G30" i="3"/>
  <c r="G34" i="3"/>
  <c r="G33" i="3"/>
  <c r="G32" i="3"/>
  <c r="E34" i="3"/>
  <c r="E32" i="3"/>
  <c r="E31" i="3"/>
  <c r="E33" i="3"/>
  <c r="E30" i="3"/>
  <c r="E35" i="3"/>
  <c r="F30" i="3"/>
  <c r="F34" i="3"/>
  <c r="F32" i="3"/>
  <c r="F33" i="3"/>
  <c r="F31" i="3"/>
  <c r="F35" i="3"/>
  <c r="F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tc={1F2074DB-3FFC-49AA-A1A2-FF38E2690F42}</author>
    <author>tc={7D48FE8B-C377-4DC7-888D-24C44C0837D4}</author>
    <author>tc={0BCC8727-7BF1-44EE-82E1-1C53009BABD2}</author>
    <author>tc={50D03FAA-2C65-4BA4-BB19-5DE85F74CFD5}</author>
    <author>tc={8BF8F134-AA2A-452F-83BC-9592208AAB6D}</author>
    <author>tc={8FAED604-E32C-42A4-9D12-C5821252A9F2}</author>
    <author>tc={1404CFE1-00BE-4D4E-8A12-80118C3DDBD8}</author>
    <author>tc={B5D2338D-DC35-460D-96A2-8BEB9ED31423}</author>
    <author>tc={9F260D28-D06D-4BF3-AB67-58AE263DFDF3}</author>
  </authors>
  <commentList>
    <comment ref="B8" authorId="0" shapeId="0" xr:uid="{1F2074DB-3FFC-49AA-A1A2-FF38E2690F42}">
      <text>
        <t>[Threaded comment]
Your version of Excel allows you to read this threaded comment; however, any edits to it will get removed if the file is opened in a newer version of Excel. Learn more: https://go.microsoft.com/fwlink/?linkid=870924
Comment:
    Project scoping decision - fresh 5-yr incremental window starting FY27 for both options, apples-to-apples comparison</t>
      </text>
    </comment>
    <comment ref="B9" authorId="1" shapeId="0" xr:uid="{7D48FE8B-C377-4DC7-888D-24C44C0837D4}">
      <text>
        <t>[Threaded comment]
Your version of Excel allows you to read this threaded comment; however, any edits to it will get removed if the file is opened in a newer version of Excel. Learn more: https://go.microsoft.com/fwlink/?linkid=870924
Comment:
    FY27 - fresh incremental decision point, not anchored to Trytyr's actual Q3 2025 launch</t>
      </text>
    </comment>
    <comment ref="B10" authorId="2" shapeId="0" xr:uid="{0BCC8727-7BF1-44EE-82E1-1C53009BABD2}">
      <text>
        <t>[Threaded comment]
Your version of Excel allows you to read this threaded comment; however, any edits to it will get removed if the file is opened in a newer version of Excel. Learn more: https://go.microsoft.com/fwlink/?linkid=870924
Comment:
    Source: Industry benchmark - large-cap healthcare/medtech WACC typically 8-10%; midpoint used as estimate, not Alcon-disclosed</t>
      </text>
    </comment>
    <comment ref="B16" authorId="3" shapeId="0" xr:uid="{50D03FAA-2C65-4BA4-BB19-5DE85F74CFD5}">
      <text>
        <t xml:space="preserve">[Threaded comment]
Your version of Excel allows you to read this threaded comment; however, any edits to it will get removed if the file is opened in a newer version of Excel. Learn more: https://go.microsoft.com/fwlink/?linkid=870924
Comment:
    Source: Third-party analyst estimate, triangulated from Xiidra peak sales (~$400M annually) against global DED market size (~$7-8B) at time of peak. NOT Alcon-disclosed. </t>
      </text>
    </comment>
    <comment ref="B19" authorId="4" shapeId="0" xr:uid="{8BF8F134-AA2A-452F-83BC-9592208AAB6D}">
      <text>
        <t>[Threaded comment]
Your version of Excel allows you to read this threaded comment; however, any edits to it will get removed if the file is opened in a newer version of Excel. Learn more: https://go.microsoft.com/fwlink/?linkid=870924
Comment:
    Specialty pharma S&amp;M benchmark (life sciences SG&amp;A 25-40% of revenue, ~85% of that is S&amp;M --&gt; ~21-34%; midpoint of lower/specialty end range used)</t>
      </text>
    </comment>
    <comment ref="B20" authorId="5" shapeId="0" xr:uid="{8FAED604-E32C-42A4-9D12-C5821252A9F2}">
      <text>
        <t>[Threaded comment]
Your version of Excel allows you to read this threaded comment; however, any edits to it will get removed if the file is opened in a newer version of Excel. Learn more: https://go.microsoft.com/fwlink/?linkid=870924
Comment:
    Reasoned judgment call — organic trajectory without incremental investment. Set below all Invest-case scenarios (including Downside at 3%) to preserve a non-zero incremental benefit even in the worst case; avoids a Downside scenario where the investment shows no advantage over doing nothing.</t>
      </text>
    </comment>
    <comment ref="B25" authorId="6" shapeId="0" xr:uid="{1404CFE1-00BE-4D4E-8A12-80118C3DDBD8}">
      <text>
        <t xml:space="preserve">[Threaded comment]
Your version of Excel allows you to read this threaded comment; however, any edits to it will get removed if the file is opened in a newer version of Excel. Learn more: https://go.microsoft.com/fwlink/?linkid=870924
Comment:
    Source: Internal judgment call, not externally sourced. Initial framing used 41%-10% prevalence/penetration gap; revised down after finding toric segment is mature ($4.4B, 4.8% CAGR, 42.3% of design-based usage, 57% of specialty lens production 2024) — gap is competitive share-shift within existing category, not open white space. See project notes for full rationale. </t>
      </text>
    </comment>
    <comment ref="B27" authorId="7" shapeId="0" xr:uid="{B5D2338D-DC35-460D-96A2-8BEB9ED31423}">
      <text>
        <t>[Threaded comment]
Your version of Excel allows you to read this threaded comment; however, any edits to it will get removed if the file is opened in a newer version of Excel. Learn more: https://go.microsoft.com/fwlink/?linkid=870924
Comment:
    Lower than Tryptyr - leverages existing ECP/distribution relationships, no new sales infrastructure needed</t>
      </text>
    </comment>
    <comment ref="B28" authorId="8" shapeId="0" xr:uid="{9F260D28-D06D-4BF3-AB67-58AE263DFDF3}">
      <text>
        <t>[Threaded comment]
Your version of Excel allows you to read this threaded comment; however, any edits to it will get removed if the file is opened in a newer version of Excel. Learn more: https://go.microsoft.com/fwlink/?linkid=870924
Comment:
    Reasoned judgment call — Alcon is one of four major competitors (J&amp;J, CooperVision, Bausch+Lomb, Alcon) in the toric segment; estimated modestly below an even four-way split (25%) given strong underlying momentum (PRECISION1 was fastest-growing US daily disposable pre-toric-launch, 3 toric SKUs launched in 24 months) but not assumed to be category leader. Not a hard data point — Alcon's actual toric-specific share is not disclosed.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tc={C4E146BA-F762-49AB-869F-367E7AFDA6E5}</author>
    <author>tc={47E3355D-0516-4565-A0DF-5659E4B63006}</author>
    <author>tc={6FD11FCA-727E-4479-8A1E-F06D993E0C5A}</author>
    <author>tc={B7D64E27-CFED-4403-9163-445AC3E2CF2D}</author>
    <author>tc={9854CEC8-FBDB-48FE-9E28-389E0FA7B40F}</author>
    <author>tc={6E7B9513-A056-4925-9FB8-888B0BC53652}</author>
    <author>tc={564F5584-6996-4C1D-9750-767F12F9B235}</author>
    <author>tc={B384F42E-7655-4D1A-98DA-F64AD0B681D8}</author>
  </authors>
  <commentList>
    <comment ref="B7" authorId="0" shapeId="0" xr:uid="{C4E146BA-F762-49AB-869F-367E7AFDA6E5}">
      <text>
        <t>[Threaded comment]
Your version of Excel allows you to read this threaded comment; however, any edits to it will get removed if the file is opened in a newer version of Excel. Learn more: https://go.microsoft.com/fwlink/?linkid=870924
Comment:
    Source: Project context — Global DED market projected $6.7B (2025) → $11.1B (2033), 6.6% CAGR.</t>
      </text>
    </comment>
    <comment ref="B8" authorId="1" shapeId="0" xr:uid="{47E3355D-0516-4565-A0DF-5659E4B63006}">
      <text>
        <t>[Threaded comment]
Your version of Excel allows you to read this threaded comment; however, any edits to it will get removed if the file is opened in a newer version of Excel. Learn more: https://go.microsoft.com/fwlink/?linkid=870924
Comment:
    Source: Project context — Global DED market $7.1B (2026 est.); used as FY27 starting point. Grows at 6.6% CAGR per market projection ($6.7B 2025 → $11.1B 2033).</t>
      </text>
    </comment>
    <comment ref="B9" authorId="2" shapeId="0" xr:uid="{6FD11FCA-727E-4479-8A1E-F06D993E0C5A}">
      <text>
        <t>[Threaded comment]
Your version of Excel allows you to read this threaded comment; however, any edits to it will get removed if the file is opened in a newer version of Excel. Learn more: https://go.microsoft.com/fwlink/?linkid=870924
Comment:
    Risk flag: ~50% of Tryptyr trial patients reported instillation-site pain — but &lt;1% of patients discontinued therapy because of it (Source: Alcon prescribing information / COMET trial data). This suggests the tolerability signal is real but largely manageable, not a major adoption-killing risk. Captured qualitatively in the Portfolio Comparison tab's Demand Durability assessment; not separately modeled as its own scenario toggle.</t>
      </text>
    </comment>
    <comment ref="B10" authorId="3" shapeId="0" xr:uid="{B7D64E27-CFED-4403-9163-445AC3E2CF2D}">
      <text>
        <t>[Threaded comment]
Your version of Excel allows you to read this threaded comment; however, any edits to it will get removed if the file is opened in a newer version of Excel. Learn more: https://go.microsoft.com/fwlink/?linkid=870924
Comment:
    Source: Reasoned approximation, qualitatively anchored to Xiidra's real launch trajectory (~16% of peak Y1, ~93% of peak Y2, ~100% plateau Y3-4 per quarterly sales data) but smoothed into a more gradual 5-yr curve (15/50/85/100/100%) rather than replicating Xiidra's exact 2-year front-loaded shape — avoids over-fitting to one historical case while preserving the slow-start/steep-middle/plateau pattern. Static across Base/Upside/Downside scenarios per project scope.</t>
      </text>
    </comment>
    <comment ref="B13" authorId="4" shapeId="0" xr:uid="{9854CEC8-FBDB-48FE-9E28-389E0FA7B40F}">
      <text>
        <t>[Threaded comment]
Your version of Excel allows you to read this threaded comment; however, any edits to it will get removed if the file is opened in a newer version of Excel. Learn more: https://go.microsoft.com/fwlink/?linkid=870924
Comment:
    Source: Reasoned approximation — organic adoption ramps more slowly than the Invest case (15/50/85/100/100%) since the incremental commercial investment's thesis is specifically to accelerate adoption speed, not just raise the eventual ceiling. Static across scenarios per project scope.</t>
      </text>
    </comment>
    <comment ref="B17" authorId="5" shapeId="0" xr:uid="{6E7B9513-A056-4925-9FB8-888B0BC53652}">
      <text>
        <t>[Threaded comment]
Your version of Excel allows you to read this threaded comment; however, any edits to it will get removed if the file is opened in a newer version of Excel. Learn more: https://go.microsoft.com/fwlink/?linkid=870924
Comment:
    Commercial spend modeled as 22.5% of incremental revenue only. Excludes one-time/fixed launch infrastructure costs (sales force build-out, market access setup) that may not scale linearly with revenue, particularly in Year 1. Scoped out for model simplicity — flagged as a limitation, not an oversight.</t>
      </text>
    </comment>
    <comment ref="B26" authorId="6" shapeId="0" xr:uid="{564F5584-6996-4C1D-9750-767F12F9B235}">
      <text>
        <t xml:space="preserve">[Threaded comment]
Your version of Excel allows you to read this threaded comment; however, any edits to it will get removed if the file is opened in a newer version of Excel. Learn more: https://go.microsoft.com/fwlink/?linkid=870924
Comment:
    Discounted payback period is not a meaningful differentiator for Option A under this model's cost structure: because commercial spend is modeled purely as a % of incremental revenue (no separate fixed/upfront infrastructure cost), cumulative cash flow is positive in Year 1 by construction in every scenario. A traditional payback metric would be more meaningful if fixed launch infrastructure costs (sales force build-out, market access setup — explicitly scoped out of this model, see Commercial Spend comment) were modeled separately as an upfront outlay. </t>
      </text>
    </comment>
    <comment ref="G36" authorId="7" shapeId="0" xr:uid="{B384F42E-7655-4D1A-98DA-F64AD0B681D8}">
      <text>
        <t>[Threaded comment]
Your version of Excel allows you to read this threaded comment; however, any edits to it will get removed if the file is opened in a newer version of Excel. Learn more: https://go.microsoft.com/fwlink/?linkid=870924
Comment:
    Base case (5% peak share, 22.5% commercial spend ratio) — anchors this grid's color scale midpoint at $0.589B. Cells trending green represent NPV outperforming Base; cells trending red represent NPV underperforming Base.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tc={BFA2D736-2D37-45D8-B58A-821D209E1890}</author>
    <author>tc={F6FEB6A2-6605-4786-8FF8-5C5EE17E089C}</author>
    <author>tc={39A6962B-D2F4-4C80-93F9-DA1E41165955}</author>
    <author>tc={651A3DAC-4BC5-4891-BCDB-9F59044DDDA3}</author>
    <author>tc={29FF1D3E-A7F3-4FAD-897F-22BC7F604E80}</author>
    <author>tc={78152D7C-80EA-4016-A18C-4EC0B5D5C41B}</author>
    <author>tc={9F76B8CE-6E8B-4801-A408-EADB67BE62B4}</author>
    <author>tc={9D9764F9-609A-47E7-BFBE-28BCEE9429F5}</author>
  </authors>
  <commentList>
    <comment ref="B7" authorId="0" shapeId="0" xr:uid="{BFA2D736-2D37-45D8-B58A-821D209E1890}">
      <text>
        <t>[Threaded comment]
Your version of Excel allows you to read this threaded comment; however, any edits to it will get removed if the file is opened in a newer version of Excel. Learn more: https://go.microsoft.com/fwlink/?linkid=870924
Comment:
    Source: Project context — Toric lens segment ($4.4B, 2025) growing at 4.8% CAGR, slower than overall contact lens market.</t>
      </text>
    </comment>
    <comment ref="B8" authorId="1" shapeId="0" xr:uid="{F6FEB6A2-6605-4786-8FF8-5C5EE17E089C}">
      <text>
        <t>[Threaded comment]
Your version of Excel allows you to read this threaded comment; however, any edits to it will get removed if the file is opened in a newer version of Excel. Learn more: https://go.microsoft.com/fwlink/?linkid=870924
Comment:
    Source: Project context — Toric/astigmatism contact lens segment, $4.4B (2025), 30% of broader lens market. Used as FY27 starting point.</t>
      </text>
    </comment>
    <comment ref="B10" authorId="2" shapeId="0" xr:uid="{39A6962B-D2F4-4C80-93F9-DA1E41165955}">
      <text>
        <t>[Threaded comment]
Your version of Excel allows you to read this threaded comment; however, any edits to it will get removed if the file is opened in a newer version of Excel. Learn more: https://go.microsoft.com/fwlink/?linkid=870924
Comment:
    Source: Reasoned approximation — faster ramp than Option A (Tryptyr) given existing trusted franchise (PRECISION1/TOTAL30), no de-novo prescribing behavior change required, and 99% first-fit success rate reducing adoption friction. Ceiling reached by Year 2-3 per qualitative project assumption. Static across scenarios per project scope.</t>
      </text>
    </comment>
    <comment ref="B11" authorId="3" shapeId="0" xr:uid="{651A3DAC-4BC5-4891-BCDB-9F59044DDDA3}">
      <text>
        <t>[Threaded comment]
Your version of Excel allows you to read this threaded comment; however, any edits to it will get removed if the file is opened in a newer version of Excel. Learn more: https://go.microsoft.com/fwlink/?linkid=870924
Comment:
    Note: unlike Option A's revenue rows (which represent only the incremental sliver from Tryptyr's market-share capture), this row represents Alcon's TOTAL toric segment revenue under the invest scenario — current share (18%) plus incremental share-gain (ramped). This is necessary because Option B's share-gain is expressed in points-of-an-existing-base, not a standalone share level, so isolating the incremental dollar impact requires comparing two total-revenue bases (Invest Total vs. Do-Nothing Total) rather than computing the incremental sliver directly. See row 13 (Do-Nothing) for the comparison base; row 15 (Incremental Revenue) isolates the actual decision-relevant gain.</t>
      </text>
    </comment>
    <comment ref="B13" authorId="4" shapeId="0" xr:uid="{29FF1D3E-A7F3-4FAD-897F-22BC7F604E80}">
      <text>
        <t>[Threaded comment]
Your version of Excel allows you to read this threaded comment; however, any edits to it will get removed if the file is opened in a newer version of Excel. Learn more: https://go.microsoft.com/fwlink/?linkid=870924
Comment:
    Represents Alcon's TOTAL existing toric revenue (current share × growing segment), not an incremental-only figure. Compare against row 11 (also total-basis) — the difference, captured in row 15, is the decision-relevant incremental revenue.</t>
      </text>
    </comment>
    <comment ref="B16" authorId="5" shapeId="0" xr:uid="{78152D7C-80EA-4016-A18C-4EC0B5D5C41B}">
      <text>
        <t>[Threaded comment]
Your version of Excel allows you to read this threaded comment; however, any edits to it will get removed if the file is opened in a newer version of Excel. Learn more: https://go.microsoft.com/fwlink/?linkid=870924
Comment:
    Assumes existing ECP/distribution infrastructure absorbs incremental education/marketing spend without need for new fixed infrastructure investment, consistent with lower ratio vs. Option A.</t>
      </text>
    </comment>
    <comment ref="B25" authorId="6" shapeId="0" xr:uid="{9F76B8CE-6E8B-4801-A408-EADB67BE62B4}">
      <text>
        <t xml:space="preserve">[Threaded comment]
Your version of Excel allows you to read this threaded comment; however, any edits to it will get removed if the file is opened in a newer version of Excel. Learn more: https://go.microsoft.com/fwlink/?linkid=870924
Comment:
    Discounted payback period is not a meaningful differentiator for Option B under this model's cost structure, for the same reason as Option A: commercial spend is modeled purely as a % of incremental revenue, with no separate fixed/upfront infrastructure cost (e.g., ECP education program build-out). Cumulative cash flow is positive in Year 1 by construction in every scenario. A relative comparison of fixed launch costs between the two options would require qualitative estimation not grounded in sourced data, and was excluded to maintain consistency with this model's evidence-based assumption standard. </t>
      </text>
    </comment>
    <comment ref="E33" authorId="7" shapeId="0" xr:uid="{9D9764F9-609A-47E7-BFBE-28BCEE9429F5}">
      <text>
        <t xml:space="preserve">[Threaded comment]
Your version of Excel allows you to read this threaded comment; however, any edits to it will get removed if the file is opened in a newer version of Excel. Learn more: https://go.microsoft.com/fwlink/?linkid=870924
Comment:
    Base case (0.75% share-of-segment gain, 12.5% commercial spend ratio) — anchors this grid's color scale midpoint at $0.102B. Cells trending green represent NPV outperforming Base; cells trending red represent NPV underperforming Base.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tc={061ECB44-B414-48B3-9C46-D2D6F2656D09}</author>
    <author>tc={12D28317-4FBE-4C2E-A4F7-1437A2ACBA75}</author>
    <author>tc={4BAC5B22-9008-42DE-B14F-BEA0ECD83245}</author>
  </authors>
  <commentList>
    <comment ref="C10" authorId="0" shapeId="0" xr:uid="{061ECB44-B414-48B3-9C46-D2D6F2656D09}">
      <text>
        <t xml:space="preserve">[Threaded comment]
Your version of Excel allows you to read this threaded comment; however, any edits to it will get removed if the file is opened in a newer version of Excel. Learn more: https://go.microsoft.com/fwlink/?linkid=870924
Comment:
    Checked for cannibalization risk against Alcon's existing OTC dry-eye portfolio (Systane, GenTeal): minimal risk identified. Tryptyr is Alcon's first prescription pharmaceutical product, mechanistically distinct (first-in-class TRPM8 receptor agonist) from Systane's OTC lubricating approach, and Alcon explicitly positions it as complementary within a 'comprehensive portfolio from OTC to prescription' (Source: Alcon investor press release, July 2025) rather than as a substitute for existing offerings. </t>
      </text>
    </comment>
    <comment ref="B19" authorId="1" shapeId="0" xr:uid="{12D28317-4FBE-4C2E-A4F7-1437A2ACBA75}">
      <text>
        <t xml:space="preserve">[Threaded comment]
Your version of Excel allows you to read this threaded comment; however, any edits to it will get removed if the file is opened in a newer version of Excel. Learn more: https://go.microsoft.com/fwlink/?linkid=870924
Comment:
    Values recorded by manually toggling each Option's model tab (Option_A_Tryptyr / Option_B_LensExpansion, cell B4) to each scenario and capturing the resulting NPV. Not live-linked, to avoid building a duplicate calculation engine on this summary tab — source of truth for the underlying mechanism remains the toggle-driven formulas on each model tab. Recorded and verified [6/26/26]. </t>
      </text>
    </comment>
    <comment ref="B22" authorId="2" shapeId="0" xr:uid="{4BAC5B22-9008-42DE-B14F-BEA0ECD83245}">
      <text>
        <t xml:space="preserve">[Threaded comment]
Your version of Excel allows you to read this threaded comment; however, any edits to it will get removed if the file is opened in a newer version of Excel. Learn more: https://go.microsoft.com/fwlink/?linkid=870924
Comment:
    Discounted payback period was computed and is positive in Year 1 for both options across all scenarios — but this result is mechanically guaranteed by the cost structure (commercial spend modeled as % of incremental revenue, no fixed upfront outlay), not a reflection of differentiated investment risk between the options. If real fixed launch costs (sales force build-out, ECP education program setup, etc. — explicitly scoped out of this model) were incorporated, payback period could look materially different and would become a genuinely informative differentiator. Excluded here only because no sourced fixed-cost data was available to model it credibly. </t>
      </text>
    </comment>
  </commentList>
</comments>
</file>

<file path=xl/sharedStrings.xml><?xml version="1.0" encoding="utf-8"?>
<sst xmlns="http://schemas.openxmlformats.org/spreadsheetml/2006/main" count="179" uniqueCount="124">
  <si>
    <t>Alcon Vision Care Franchise - F27 Portfolio Investment Analysis</t>
  </si>
  <si>
    <t>Cover &amp; Assumptions</t>
  </si>
  <si>
    <t>Prepared for: Senior Manager, Global Business Strategy &amp; Planning - Interview Case Study</t>
  </si>
  <si>
    <t>Shared Structural Assumptions</t>
  </si>
  <si>
    <t>Driver</t>
  </si>
  <si>
    <t>Value</t>
  </si>
  <si>
    <t>Source / Basis</t>
  </si>
  <si>
    <t>Time horizon (years)</t>
  </si>
  <si>
    <t>Project scoping decision - fresh 5-yr incremental window starting FY27 for both options, apples-to-apples comparison</t>
  </si>
  <si>
    <t>Start year</t>
  </si>
  <si>
    <t>2027</t>
  </si>
  <si>
    <t>FY27 - fresh incremental decision point, not anchored to Trytyr's actual Q3 2025 launch</t>
  </si>
  <si>
    <t>Discount rate (WACC proxy)</t>
  </si>
  <si>
    <t>Source: Industry benchmark - large-cap healthcare/medtech WACC typically 8-10%; midpoint used as estimate, not Alcon-disclosed</t>
  </si>
  <si>
    <t>Option A: Tryptyr Commercial Accelaration - Assumptions</t>
  </si>
  <si>
    <t>Base</t>
  </si>
  <si>
    <t>Upside</t>
  </si>
  <si>
    <t>Downside</t>
  </si>
  <si>
    <t>Peak share of $7.1B global DED market</t>
  </si>
  <si>
    <t>Triangulated from Xiidra's ~$400M peak sales / ~$7-8B market at the time = ~5% share</t>
  </si>
  <si>
    <t>Ramp shape (static across scenarios)</t>
  </si>
  <si>
    <t>Slow Y1 --&gt; steep Y2-3 inflection --&gt; plateau Y3-4</t>
  </si>
  <si>
    <t>Xiidra's real quarterly trail: ~$16M/qtr (Y1, ~2017) --&gt; ~$93M/qtr (Y2, ~2018) --&gt; ~$390-400M annual plateau (Y3-4)</t>
  </si>
  <si>
    <t>Patent-protected window (years)</t>
  </si>
  <si>
    <t>5-7</t>
  </si>
  <si>
    <t>Third-party analyst estimate - NOT Alcon-disclosed, flag as estimate</t>
  </si>
  <si>
    <t>Commercial spend ratio (% of incremental revenue)</t>
  </si>
  <si>
    <t>Specialty pharma S&amp;M benchmark (life sciences SG&amp;A 25-40% of revenue, ~85% of that is S&amp;M --&gt; ~21-34%; midpoint of lower/specialty end range used)</t>
  </si>
  <si>
    <t>Option B: Contact Lens Parameter Expansion - Assumptions</t>
  </si>
  <si>
    <t>Share-of-toric-segment gain, 5yr (on $4.4B 2025 toric segment)</t>
  </si>
  <si>
    <t>Reasoned/conservative judgement call post-pivot (see toric segment saturation analysis) - NOT a hard data point, document as such</t>
  </si>
  <si>
    <t>Faster than Tryptyr, ceiling ~Year 2-3</t>
  </si>
  <si>
    <t>Qualitative: existing trusted franchise, no de-novo prescribing behavior, 99% first-fit success reduces friction (PRECISION1-for-Astigmatism comp)</t>
  </si>
  <si>
    <t>Commercial spend ratio (% of incremental revenue, static across scenarios)</t>
  </si>
  <si>
    <t>Lower than Tryptyr - leverages existing ECP/distribution relationships, no new sales infrastructure needed</t>
  </si>
  <si>
    <t>Do-nothing baseline methodology</t>
  </si>
  <si>
    <t>Organic/current trajectory (not zero) - see respective Option tabs</t>
  </si>
  <si>
    <t>Project scoping decision - isolates incremental investment impact rather than overstating opportunity vs. a zero baseline</t>
  </si>
  <si>
    <t>Option A: Tryptyr Commercial Acceleration - Model</t>
  </si>
  <si>
    <t>Active Scenario:</t>
  </si>
  <si>
    <t>FY27</t>
  </si>
  <si>
    <t>FY28</t>
  </si>
  <si>
    <t>FY29</t>
  </si>
  <si>
    <t>FY30</t>
  </si>
  <si>
    <t>FY31</t>
  </si>
  <si>
    <t>Active Peak Share (resolved from toggle)</t>
  </si>
  <si>
    <t>Global DED Market Size ($B)</t>
  </si>
  <si>
    <t>Global DED Market CAGR</t>
  </si>
  <si>
    <t>Ramp % of Peak Share</t>
  </si>
  <si>
    <t>Invest Case Revenue ($B)</t>
  </si>
  <si>
    <t>Organic (do-nothing) peak share of $7.1B global DED market</t>
  </si>
  <si>
    <t>Reasoned judgment call — organic trajectory without incremental investment. Set below all Invest-case scenarios (including Downside at 3%) to preserve a non-zero incremental benefit even in the worst case; avoids a Downside scenario where the investment shows no advantage over doing nothing.</t>
  </si>
  <si>
    <t>Organic (Do-Nothing) Peak Share</t>
  </si>
  <si>
    <t>Organic Ramp % of Peak</t>
  </si>
  <si>
    <t>Do-Nothing Case Revenue ($B)</t>
  </si>
  <si>
    <t>Incremental Revenue ($B)</t>
  </si>
  <si>
    <t>Commercial Spend ($B)</t>
  </si>
  <si>
    <t>Net Incremental Cash Flow ($B)</t>
  </si>
  <si>
    <t>NPV &amp; Returns</t>
  </si>
  <si>
    <t>Discount Factor</t>
  </si>
  <si>
    <t>Year Index</t>
  </si>
  <si>
    <t>PV of Net Incremental Cash Flow ($B)</t>
  </si>
  <si>
    <t>NPV - Option A (Tryptyr), 5-Year ($B)</t>
  </si>
  <si>
    <t>Option B: Contact Lens Parameter Expansion - Model</t>
  </si>
  <si>
    <t>Toric Segment CAGR</t>
  </si>
  <si>
    <t>Toric Segment Size ($B)</t>
  </si>
  <si>
    <t>($ in billions unless otherwise noted)</t>
  </si>
  <si>
    <t>Active Share-of-Segment Gain (resolved from toggle)</t>
  </si>
  <si>
    <t>Ramp % of Peak Share Gain</t>
  </si>
  <si>
    <t>Alcon's current share of $4.4B toric segment</t>
  </si>
  <si>
    <t>Reasoned judgment call — Alcon is one of four major competitors (J&amp;J, CooperVision, Bausch+Lomb, Alcon) in the toric segment; estimated modestly below an even four-way split (25%) given strong underlying momentum (PRECISION1 was fastest-growing US daily disposable pre-toric-launch, 3 toric SKUs launched in 24 months) but not assumed to be category leader. Not a hard data point — Alcon's actual toric-specific share is not disclosed.</t>
  </si>
  <si>
    <t>Alcon's Current Toric Share</t>
  </si>
  <si>
    <t>NPV - Option B (Lens Expansion), 5-Year ($B)</t>
  </si>
  <si>
    <t>Sensitivity Analysis - NPV ($B) vs. Peak Share &amp; Commercial Spend Ratio</t>
  </si>
  <si>
    <t>Sensitivity Helper Calculations - PV of Incremental Revenue by Peak Share</t>
  </si>
  <si>
    <t>Peak Share Tested</t>
  </si>
  <si>
    <t>PV of Incremental Revenue (5yr sum)</t>
  </si>
  <si>
    <t>Sensitivity Analysis - NPV ($B) vs. Share-of-Segment Gain &amp; Commercial Spend Ratio</t>
  </si>
  <si>
    <t>Sensitivity Helper Calculations - PV of Incremental Revenue by Share-of-Segment Gain</t>
  </si>
  <si>
    <t>Share Gain Tested</t>
  </si>
  <si>
    <t>Portfolio Comparison - Option A vs. Option B</t>
  </si>
  <si>
    <t>Market Attractiveness &amp; Right-to-Win Assessment, NPV/Returns Summary, and Sequencing Recommendation</t>
  </si>
  <si>
    <t>Market Attractiveness &amp; Right-to-Win Assessment</t>
  </si>
  <si>
    <t>Dimension</t>
  </si>
  <si>
    <t>Criterion</t>
  </si>
  <si>
    <t>Option A: Tryptyr</t>
  </si>
  <si>
    <t>Option B: Lens Expansion</t>
  </si>
  <si>
    <t>Rationale</t>
  </si>
  <si>
    <t>Market Attractiveness</t>
  </si>
  <si>
    <t>Market size &amp; growth</t>
  </si>
  <si>
    <t>High</t>
  </si>
  <si>
    <t>Low-Medium</t>
  </si>
  <si>
    <t>Global DED market $7.1B growing 6.6% CAGR to $11.1B by 2033 vs. toric segment $4.4B growing only 4.8% CAGR — already mature/saturated</t>
  </si>
  <si>
    <t>Competitive Intensity</t>
  </si>
  <si>
    <t>Low</t>
  </si>
  <si>
    <t>Tryptyr is first-in-class (TRPM8) with differentiated mechanism vs. Xiidra/Restasis/Cequa/Miebo; toric segment has 4 established competitors (J&amp;J, CooperVision, B+L, Alcon) all fighting for the same mature gap</t>
  </si>
  <si>
    <t>Profitability / margin potential</t>
  </si>
  <si>
    <t>Medium-High</t>
  </si>
  <si>
    <t>Medium</t>
  </si>
  <si>
    <t>Specialty pharma margins typically exceed contact lens category margins even after Tryptyr's higher commercial spend ratio (20-25% vs. 10-15%); reasoned inference, not directly sourced — no hard margin data available for either segment in source materials</t>
  </si>
  <si>
    <t>Demand durability (low adoption/retention risk = more attractive)</t>
  </si>
  <si>
    <t>Medium-Low</t>
  </si>
  <si>
    <t>Right to Win</t>
  </si>
  <si>
    <t>Existing capabilities / brand strength</t>
  </si>
  <si>
    <t>Tryptyr is a brand-new mechanism requiring new prescriber trust/behavior, though Alcon has some ocular-health presence via Systane; PRECISION1 was already the fastest-growing US daily disposable brand pre-toric-launch, indicating strong existing brand equity to extend from</t>
  </si>
  <si>
    <t>Distribution / ECP relationships</t>
  </si>
  <si>
    <t>Tryptyr requires building new sales force/DTC infrastructure and prescriber relationships specifically for this mechanism (reflected in its higher 20-25% commercial spend ratio); lens expansion leverages already-established ECP fitting relationships and distribution (reflected in its lower 10-15% ratio)</t>
  </si>
  <si>
    <t>Execution risk / complexity</t>
  </si>
  <si>
    <t>Tryptyr requires new prescribing behavior change (de-novo clinical decision) and carries the tolerability risk noted above; lens expansion requires no behavior change beyond an existing fitting workflow, with 99% first-fit success demonstrated in trials</t>
  </si>
  <si>
    <t>Defensibility of share gained (patent/exclusivity)</t>
  </si>
  <si>
    <t>Tryptyr has an estimated 5-7 year patent-protected window (third-party analyst estimate, not Alcon-disclosed) limiting direct molecular competition; toric lens parameter expansion has no equivalent exclusivity — competitors can respond with their own expanded SKU ranges without a comparable legal barrier</t>
  </si>
  <si>
    <t>~50% of Tryptyr trial patients reported instillation-site pain, but &lt;1% discontinued therapy because of it (Source: Alcon prescribing information / COMET trial data) — suggesting the tolerability signal is real but largely manageable rather than a major adoption-killing risk; toric lens expansion carries even less comparable risk given 99% first-fit success rate and no new tolerability profile to introduce</t>
  </si>
  <si>
    <t>Overall Assessment</t>
  </si>
  <si>
    <t>Overall placement</t>
  </si>
  <si>
    <t>Market Attractiveness: Medium-High | Right-to-Win: Medium</t>
  </si>
  <si>
    <t>Market Attractiveness: Low-Medium | Right-to-Win: High</t>
  </si>
  <si>
    <t>Option A offers a larger, faster-growing opportunity but requires building new prescriber trust/behavior in a moderately competitive field; Option B offers a smaller, more mature opportunity but with near-ideal execution conditions (existing relationships, minimal adoption friction, defensible distribution) — though without Option A's patent-protected exclusivity once share is won</t>
  </si>
  <si>
    <t>Cumulative PV of Net Incremental Cash Flow</t>
  </si>
  <si>
    <t>Financial Summary - NPV by Scenario ($B)</t>
  </si>
  <si>
    <t>Driver/Scenario</t>
  </si>
  <si>
    <t>Payback Period</t>
  </si>
  <si>
    <t>Immediate by construction — not a true risk signal (see note)</t>
  </si>
  <si>
    <t>Sequencing &amp; Funding Recommendation</t>
  </si>
  <si>
    <t>Recommendation: 
Fund both options — they are independent, NPV-positive across all scenarios (including Downside), and target genuinely different parts of the Vision Care portfolio. If capacity allows, pursue both in parallel starting FY27.
If incremental investment capacity is constrained and a sequencing choice is required, prioritize Option A (Tryptyr) first. While Option B (Lens Expansion) scores higher on Right-to-Win — lower execution risk, existing ECP relationships, minimal adoption friction — Option A carries a materially higher cost of delay: its 5-7 year patent-protected window began running at launch (Q3 2025) and erodes regardless of investment timing, while Tryptyr's tolerability profile (50% adverse-event rate, but &lt;1% discontinuation) is better understood and lower-risk than initially appears. Option B's opportunity, by contrast, is durable — the toric segment's slower, more stable growth (4.8% CAGR) means delaying this investment by even 1-2 quarters does not meaningfully shrink the total addressable opportunity the way delaying Option A would shrink its patent-protected capture window.
In short: Right-to-Win favors Option B's ease of execution, but cost-of-delay favors Option A's urgency — and under a binding capacity constraint, urgency should take priority over comfort, since Option A's opportunity decays in a way Option B's does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</si>
</sst>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0.0%"/>
    <numFmt numFmtId="165" formatCode="0.000"/>
    <numFmt numFmtId="166" formatCode="&quot;$&quot;#,##0.000"/>
    <numFmt numFmtId="167" formatCode="&quot;$&quot;#,##0.0"/>
    <numFmt numFmtId="168" formatCode="&quot;$&quot;#,##0.00"/>
    <numFmt numFmtId="169" formatCode="&quot;$&quot;#,##0.0000"/>
    <numFmt numFmtId="170" formatCode="&quot;$&quot;#,##0.###"/>
  </numFmts>
  <fonts count="10" x14ac:knownFonts="1">
    <font>
      <sz val="11"/>
      <color theme="1"/>
      <name val="Aptos Narrow"/>
      <family val="2"/>
      <scheme val="minor"/>
    </font>
    <font>
      <b/>
      <sz val="11"/>
      <color theme="1"/>
      <name val="Aptos Narrow"/>
      <family val="2"/>
      <scheme val="minor"/>
    </font>
    <font>
      <b/>
      <sz val="14"/>
      <color theme="1"/>
      <name val="Aptos Narrow"/>
      <family val="2"/>
      <scheme val="minor"/>
    </font>
    <font>
      <b/>
      <sz val="12"/>
      <color theme="1"/>
      <name val="Aptos Narrow"/>
      <family val="2"/>
      <scheme val="minor"/>
    </font>
    <font>
      <i/>
      <sz val="10"/>
      <color theme="1"/>
      <name val="Aptos Narrow"/>
      <family val="2"/>
      <scheme val="minor"/>
    </font>
    <font>
      <sz val="11"/>
      <name val="Aptos Narrow"/>
      <family val="2"/>
      <scheme val="minor"/>
    </font>
    <font>
      <sz val="11"/>
      <color rgb="FF0070C0"/>
      <name val="Aptos Narrow"/>
      <family val="2"/>
      <scheme val="minor"/>
    </font>
    <font>
      <sz val="11"/>
      <color theme="1"/>
      <name val="Aptos Narrow"/>
      <family val="2"/>
      <scheme val="minor"/>
    </font>
    <font>
      <sz val="8"/>
      <name val="Aptos Narrow"/>
      <family val="2"/>
      <scheme val="minor"/>
    </font>
    <font>
      <sz val="11"/>
      <color rgb="FF00B050"/>
      <name val="Aptos Narrow"/>
      <family val="2"/>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44" fontId="7" fillId="0" borderId="0" applyFont="0" applyFill="0" applyBorder="0" applyAlignment="0" applyProtection="0"/>
    <xf numFmtId="9" fontId="7" fillId="0" borderId="0" applyFont="0" applyFill="0" applyBorder="0" applyAlignment="0" applyProtection="0"/>
  </cellStyleXfs>
  <cellXfs count="41">
    <xf numFmtId="0" fontId="0" fillId="0" borderId="0" xfId="0"/>
    <xf numFmtId="0" fontId="2" fillId="0" borderId="0" xfId="0" applyFont="1"/>
    <xf numFmtId="0" fontId="3" fillId="0" borderId="0" xfId="0" applyFont="1"/>
    <xf numFmtId="0" fontId="4" fillId="0" borderId="0" xfId="0" applyFont="1"/>
    <xf numFmtId="0" fontId="3" fillId="2" borderId="0" xfId="0" applyFont="1" applyFill="1"/>
    <xf numFmtId="0" fontId="0" fillId="2" borderId="0" xfId="0" applyFill="1"/>
    <xf numFmtId="0" fontId="1" fillId="0" borderId="0" xfId="0" applyFont="1"/>
    <xf numFmtId="0" fontId="6" fillId="0" borderId="0" xfId="0" quotePrefix="1" applyFont="1"/>
    <xf numFmtId="0" fontId="6" fillId="0" borderId="0" xfId="0" applyFont="1"/>
    <xf numFmtId="164" fontId="6" fillId="0" borderId="0" xfId="0" applyNumberFormat="1" applyFont="1"/>
    <xf numFmtId="10" fontId="6" fillId="0" borderId="0" xfId="0" applyNumberFormat="1" applyFont="1"/>
    <xf numFmtId="164" fontId="5" fillId="0" borderId="0" xfId="0" applyNumberFormat="1" applyFont="1"/>
    <xf numFmtId="164" fontId="9" fillId="0" borderId="0" xfId="2" applyNumberFormat="1" applyFont="1"/>
    <xf numFmtId="9" fontId="0" fillId="0" borderId="0" xfId="0" applyNumberFormat="1"/>
    <xf numFmtId="9" fontId="6" fillId="0" borderId="0" xfId="0" applyNumberFormat="1" applyFont="1"/>
    <xf numFmtId="166" fontId="0" fillId="0" borderId="0" xfId="0" applyNumberFormat="1"/>
    <xf numFmtId="167" fontId="6" fillId="0" borderId="0" xfId="0" applyNumberFormat="1" applyFont="1"/>
    <xf numFmtId="167" fontId="0" fillId="0" borderId="0" xfId="0" applyNumberFormat="1"/>
    <xf numFmtId="0" fontId="1" fillId="0" borderId="1" xfId="0" applyFont="1" applyBorder="1"/>
    <xf numFmtId="166" fontId="0" fillId="0" borderId="1" xfId="0" applyNumberFormat="1" applyBorder="1"/>
    <xf numFmtId="166" fontId="9" fillId="0" borderId="0" xfId="0" applyNumberFormat="1" applyFont="1"/>
    <xf numFmtId="169" fontId="0" fillId="0" borderId="0" xfId="0" applyNumberFormat="1"/>
    <xf numFmtId="0" fontId="1" fillId="0" borderId="2" xfId="0" applyFont="1" applyBorder="1"/>
    <xf numFmtId="166" fontId="0" fillId="0" borderId="2" xfId="0" applyNumberFormat="1" applyBorder="1"/>
    <xf numFmtId="165" fontId="9" fillId="0" borderId="0" xfId="0" applyNumberFormat="1" applyFont="1"/>
    <xf numFmtId="166" fontId="0" fillId="0" borderId="3" xfId="0" applyNumberFormat="1" applyBorder="1"/>
    <xf numFmtId="166" fontId="0" fillId="0" borderId="4" xfId="0" applyNumberFormat="1" applyBorder="1"/>
    <xf numFmtId="168" fontId="6" fillId="0" borderId="0" xfId="0" applyNumberFormat="1" applyFont="1"/>
    <xf numFmtId="10" fontId="9" fillId="0" borderId="0" xfId="2" applyNumberFormat="1" applyFont="1"/>
    <xf numFmtId="9" fontId="9" fillId="0" borderId="0" xfId="0" applyNumberFormat="1" applyFont="1"/>
    <xf numFmtId="169" fontId="9" fillId="0" borderId="0" xfId="0" applyNumberFormat="1" applyFont="1"/>
    <xf numFmtId="169" fontId="0" fillId="0" borderId="2" xfId="0" applyNumberFormat="1" applyBorder="1"/>
    <xf numFmtId="166" fontId="0" fillId="0" borderId="0" xfId="1" applyNumberFormat="1" applyFont="1"/>
    <xf numFmtId="170" fontId="6" fillId="0" borderId="0" xfId="0" applyNumberFormat="1" applyFont="1"/>
    <xf numFmtId="166" fontId="0" fillId="0" borderId="3" xfId="1" applyNumberFormat="1" applyFont="1" applyBorder="1"/>
    <xf numFmtId="9" fontId="6" fillId="0" borderId="0" xfId="0" applyNumberFormat="1" applyFont="1" applyAlignment="1">
      <alignment horizontal="center"/>
    </xf>
    <xf numFmtId="0" fontId="0" fillId="0" borderId="0" xfId="0" applyAlignment="1">
      <alignment horizontal="center"/>
    </xf>
    <xf numFmtId="0" fontId="0" fillId="0" borderId="0" xfId="0" quotePrefix="1" applyAlignment="1">
      <alignment horizontal="center"/>
    </xf>
    <xf numFmtId="164" fontId="6" fillId="0" borderId="0" xfId="0" applyNumberFormat="1" applyFont="1" applyAlignment="1">
      <alignment horizontal="center"/>
    </xf>
    <xf numFmtId="0" fontId="0" fillId="0" borderId="0" xfId="0" applyAlignment="1">
      <alignment horizontal="center" vertical="center"/>
    </xf>
    <xf numFmtId="0" fontId="0" fillId="0" borderId="0" xfId="0" applyAlignment="1">
      <alignment horizontal="left" vertical="top"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Chris Cannon" id="{710AFBF6-A1A8-43F6-A509-91AEB46FE14F}" userId="99f06ca146974bb3"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 dT="2026-06-23T20:41:50.17" personId="{710AFBF6-A1A8-43F6-A509-91AEB46FE14F}" id="{1F2074DB-3FFC-49AA-A1A2-FF38E2690F42}">
    <text>Project scoping decision - fresh 5-yr incremental window starting FY27 for both options, apples-to-apples comparison</text>
  </threadedComment>
  <threadedComment ref="B9" dT="2026-06-23T20:41:25.11" personId="{710AFBF6-A1A8-43F6-A509-91AEB46FE14F}" id="{7D48FE8B-C377-4DC7-888D-24C44C0837D4}">
    <text>FY27 - fresh incremental decision point, not anchored to Trytyr's actual Q3 2025 launch</text>
  </threadedComment>
  <threadedComment ref="B10" dT="2026-06-23T20:41:08.90" personId="{710AFBF6-A1A8-43F6-A509-91AEB46FE14F}" id="{0BCC8727-7BF1-44EE-82E1-1C53009BABD2}">
    <text>Source: Industry benchmark - large-cap healthcare/medtech WACC typically 8-10%; midpoint used as estimate, not Alcon-disclosed</text>
  </threadedComment>
  <threadedComment ref="B16" dT="2026-06-23T20:57:04.35" personId="{710AFBF6-A1A8-43F6-A509-91AEB46FE14F}" id="{50D03FAA-2C65-4BA4-BB19-5DE85F74CFD5}">
    <text xml:space="preserve">Source: Third-party analyst estimate, triangulated from Xiidra peak sales (~$400M annually) against global DED market size (~$7-8B) at time of peak. NOT Alcon-disclosed. </text>
  </threadedComment>
  <threadedComment ref="B19" dT="2026-06-23T21:28:27.38" personId="{710AFBF6-A1A8-43F6-A509-91AEB46FE14F}" id="{8BF8F134-AA2A-452F-83BC-9592208AAB6D}">
    <text>Specialty pharma S&amp;M benchmark (life sciences SG&amp;A 25-40% of revenue, ~85% of that is S&amp;M --&gt; ~21-34%; midpoint of lower/specialty end range used)</text>
  </threadedComment>
  <threadedComment ref="B20" dT="2026-06-24T21:19:04.48" personId="{710AFBF6-A1A8-43F6-A509-91AEB46FE14F}" id="{8FAED604-E32C-42A4-9D12-C5821252A9F2}">
    <text>Reasoned judgment call — organic trajectory without incremental investment. Set below all Invest-case scenarios (including Downside at 3%) to preserve a non-zero incremental benefit even in the worst case; avoids a Downside scenario where the investment shows no advantage over doing nothing.</text>
  </threadedComment>
  <threadedComment ref="B25" dT="2026-06-23T21:42:55.18" personId="{710AFBF6-A1A8-43F6-A509-91AEB46FE14F}" id="{1404CFE1-00BE-4D4E-8A12-80118C3DDBD8}">
    <text xml:space="preserve">Source: Internal judgment call, not externally sourced. Initial framing used 41%-10% prevalence/penetration gap; revised down after finding toric segment is mature ($4.4B, 4.8% CAGR, 42.3% of design-based usage, 57% of specialty lens production 2024) — gap is competitive share-shift within existing category, not open white space. See project notes for full rationale. </text>
  </threadedComment>
  <threadedComment ref="B27" dT="2026-06-23T21:53:53.51" personId="{710AFBF6-A1A8-43F6-A509-91AEB46FE14F}" id="{B5D2338D-DC35-460D-96A2-8BEB9ED31423}">
    <text>Lower than Tryptyr - leverages existing ECP/distribution relationships, no new sales infrastructure needed</text>
  </threadedComment>
  <threadedComment ref="B28" dT="2026-06-24T22:55:25.61" personId="{710AFBF6-A1A8-43F6-A509-91AEB46FE14F}" id="{9F260D28-D06D-4BF3-AB67-58AE263DFDF3}">
    <text>Reasoned judgment call — Alcon is one of four major competitors (J&amp;J, CooperVision, Bausch+Lomb, Alcon) in the toric segment; estimated modestly below an even four-way split (25%) given strong underlying momentum (PRECISION1 was fastest-growing US daily disposable pre-toric-launch, 3 toric SKUs launched in 24 months) but not assumed to be category leader. Not a hard data point — Alcon's actual toric-specific share is not disclosed.</text>
  </threadedComment>
</ThreadedComments>
</file>

<file path=xl/threadedComments/threadedComment2.xml><?xml version="1.0" encoding="utf-8"?>
<ThreadedComments xmlns="http://schemas.microsoft.com/office/spreadsheetml/2018/threadedcomments" xmlns:x="http://schemas.openxmlformats.org/spreadsheetml/2006/main">
  <threadedComment ref="B7" dT="2026-06-24T20:36:33.11" personId="{710AFBF6-A1A8-43F6-A509-91AEB46FE14F}" id="{C4E146BA-F762-49AB-869F-367E7AFDA6E5}">
    <text>Source: Project context — Global DED market projected $6.7B (2025) → $11.1B (2033), 6.6% CAGR.</text>
  </threadedComment>
  <threadedComment ref="B8" dT="2026-06-24T20:27:34.98" personId="{710AFBF6-A1A8-43F6-A509-91AEB46FE14F}" id="{47E3355D-0516-4565-A0DF-5659E4B63006}">
    <text>Source: Project context — Global DED market $7.1B (2026 est.); used as FY27 starting point. Grows at 6.6% CAGR per market projection ($6.7B 2025 → $11.1B 2033).</text>
  </threadedComment>
  <threadedComment ref="B9" dT="2026-06-26T16:32:15.34" personId="{710AFBF6-A1A8-43F6-A509-91AEB46FE14F}" id="{6FD11FCA-727E-4479-8A1E-F06D993E0C5A}">
    <text>Risk flag: ~50% of Tryptyr trial patients reported instillation-site pain — but &lt;1% of patients discontinued therapy because of it (Source: Alcon prescribing information / COMET trial data). This suggests the tolerability signal is real but largely manageable, not a major adoption-killing risk. Captured qualitatively in the Portfolio Comparison tab's Demand Durability assessment; not separately modeled as its own scenario toggle.</text>
  </threadedComment>
  <threadedComment ref="B10" dT="2026-06-24T20:46:47.14" personId="{710AFBF6-A1A8-43F6-A509-91AEB46FE14F}" id="{B7D64E27-CFED-4403-9163-445AC3E2CF2D}">
    <text>Source: Reasoned approximation, qualitatively anchored to Xiidra's real launch trajectory (~16% of peak Y1, ~93% of peak Y2, ~100% plateau Y3-4 per quarterly sales data) but smoothed into a more gradual 5-yr curve (15/50/85/100/100%) rather than replicating Xiidra's exact 2-year front-loaded shape — avoids over-fitting to one historical case while preserving the slow-start/steep-middle/plateau pattern. Static across Base/Upside/Downside scenarios per project scope.</text>
  </threadedComment>
  <threadedComment ref="B13" dT="2026-06-24T21:26:20.28" personId="{710AFBF6-A1A8-43F6-A509-91AEB46FE14F}" id="{9854CEC8-FBDB-48FE-9E28-389E0FA7B40F}">
    <text>Source: Reasoned approximation — organic adoption ramps more slowly than the Invest case (15/50/85/100/100%) since the incremental commercial investment's thesis is specifically to accelerate adoption speed, not just raise the eventual ceiling. Static across scenarios per project scope.</text>
  </threadedComment>
  <threadedComment ref="B17" dT="2026-06-24T21:42:48.53" personId="{710AFBF6-A1A8-43F6-A509-91AEB46FE14F}" id="{6E7B9513-A056-4925-9FB8-888B0BC53652}">
    <text>Commercial spend modeled as 22.5% of incremental revenue only. Excludes one-time/fixed launch infrastructure costs (sales force build-out, market access setup) that may not scale linearly with revenue, particularly in Year 1. Scoped out for model simplicity — flagged as a limitation, not an oversight.</text>
  </threadedComment>
  <threadedComment ref="B26" dT="2026-06-26T17:48:33.72" personId="{710AFBF6-A1A8-43F6-A509-91AEB46FE14F}" id="{564F5584-6996-4C1D-9750-767F12F9B235}">
    <text xml:space="preserve">Discounted payback period is not a meaningful differentiator for Option A under this model's cost structure: because commercial spend is modeled purely as a % of incremental revenue (no separate fixed/upfront infrastructure cost), cumulative cash flow is positive in Year 1 by construction in every scenario. A traditional payback metric would be more meaningful if fixed launch infrastructure costs (sales force build-out, market access setup — explicitly scoped out of this model, see Commercial Spend comment) were modeled separately as an upfront outlay. </text>
  </threadedComment>
  <threadedComment ref="G36" dT="2026-06-28T16:11:43.59" personId="{710AFBF6-A1A8-43F6-A509-91AEB46FE14F}" id="{B384F42E-7655-4D1A-98DA-F64AD0B681D8}">
    <text>Base case (5% peak share, 22.5% commercial spend ratio) — anchors this grid's color scale midpoint at $0.589B. Cells trending green represent NPV outperforming Base; cells trending red represent NPV underperforming Base.</text>
  </threadedComment>
</ThreadedComments>
</file>

<file path=xl/threadedComments/threadedComment3.xml><?xml version="1.0" encoding="utf-8"?>
<ThreadedComments xmlns="http://schemas.microsoft.com/office/spreadsheetml/2018/threadedcomments" xmlns:x="http://schemas.openxmlformats.org/spreadsheetml/2006/main">
  <threadedComment ref="B7" dT="2026-06-24T22:30:35.78" personId="{710AFBF6-A1A8-43F6-A509-91AEB46FE14F}" id="{BFA2D736-2D37-45D8-B58A-821D209E1890}">
    <text>Source: Project context — Toric lens segment ($4.4B, 2025) growing at 4.8% CAGR, slower than overall contact lens market.</text>
  </threadedComment>
  <threadedComment ref="B8" dT="2026-06-24T22:32:36.61" personId="{710AFBF6-A1A8-43F6-A509-91AEB46FE14F}" id="{F6FEB6A2-6605-4786-8FF8-5C5EE17E089C}">
    <text>Source: Project context — Toric/astigmatism contact lens segment, $4.4B (2025), 30% of broader lens market. Used as FY27 starting point.</text>
  </threadedComment>
  <threadedComment ref="B10" dT="2026-06-24T22:45:24.08" personId="{710AFBF6-A1A8-43F6-A509-91AEB46FE14F}" id="{39A6962B-D2F4-4C80-93F9-DA1E41165955}">
    <text>Source: Reasoned approximation — faster ramp than Option A (Tryptyr) given existing trusted franchise (PRECISION1/TOTAL30), no de-novo prescribing behavior change required, and 99% first-fit success rate reducing adoption friction. Ceiling reached by Year 2-3 per qualitative project assumption. Static across scenarios per project scope.</text>
  </threadedComment>
  <threadedComment ref="B11" dT="2026-06-24T23:43:17.27" personId="{710AFBF6-A1A8-43F6-A509-91AEB46FE14F}" id="{651A3DAC-4BC5-4891-BCDB-9F59044DDDA3}">
    <text>Note: unlike Option A's revenue rows (which represent only the incremental sliver from Tryptyr's market-share capture), this row represents Alcon's TOTAL toric segment revenue under the invest scenario — current share (18%) plus incremental share-gain (ramped). This is necessary because Option B's share-gain is expressed in points-of-an-existing-base, not a standalone share level, so isolating the incremental dollar impact requires comparing two total-revenue bases (Invest Total vs. Do-Nothing Total) rather than computing the incremental sliver directly. See row 13 (Do-Nothing) for the comparison base; row 15 (Incremental Revenue) isolates the actual decision-relevant gain.</text>
  </threadedComment>
  <threadedComment ref="B13" dT="2026-06-24T23:44:39.40" personId="{710AFBF6-A1A8-43F6-A509-91AEB46FE14F}" id="{29FF1D3E-A7F3-4FAD-897F-22BC7F604E80}">
    <text>Represents Alcon's TOTAL existing toric revenue (current share × growing segment), not an incremental-only figure. Compare against row 11 (also total-basis) — the difference, captured in row 15, is the decision-relevant incremental revenue.</text>
  </threadedComment>
  <threadedComment ref="B16" dT="2026-06-24T23:40:39.10" personId="{710AFBF6-A1A8-43F6-A509-91AEB46FE14F}" id="{78152D7C-80EA-4016-A18C-4EC0B5D5C41B}">
    <text>Assumes existing ECP/distribution infrastructure absorbs incremental education/marketing spend without need for new fixed infrastructure investment, consistent with lower ratio vs. Option A.</text>
  </threadedComment>
  <threadedComment ref="B25" dT="2026-06-26T17:49:07.21" personId="{710AFBF6-A1A8-43F6-A509-91AEB46FE14F}" id="{9F76B8CE-6E8B-4801-A408-EADB67BE62B4}">
    <text xml:space="preserve">Discounted payback period is not a meaningful differentiator for Option B under this model's cost structure, for the same reason as Option A: commercial spend is modeled purely as a % of incremental revenue, with no separate fixed/upfront infrastructure cost (e.g., ECP education program build-out). Cumulative cash flow is positive in Year 1 by construction in every scenario. A relative comparison of fixed launch costs between the two options would require qualitative estimation not grounded in sourced data, and was excluded to maintain consistency with this model's evidence-based assumption standard. </text>
  </threadedComment>
  <threadedComment ref="E33" dT="2026-06-28T16:14:12.36" personId="{710AFBF6-A1A8-43F6-A509-91AEB46FE14F}" id="{9D9764F9-609A-47E7-BFBE-28BCEE9429F5}">
    <text xml:space="preserve">Base case (0.75% share-of-segment gain, 12.5% commercial spend ratio) — anchors this grid's color scale midpoint at $0.102B. Cells trending green represent NPV outperforming Base; cells trending red represent NPV underperforming Base. </text>
  </threadedComment>
</ThreadedComments>
</file>

<file path=xl/threadedComments/threadedComment4.xml><?xml version="1.0" encoding="utf-8"?>
<ThreadedComments xmlns="http://schemas.microsoft.com/office/spreadsheetml/2018/threadedcomments" xmlns:x="http://schemas.openxmlformats.org/spreadsheetml/2006/main">
  <threadedComment ref="C10" dT="2026-06-26T17:02:52.05" personId="{710AFBF6-A1A8-43F6-A509-91AEB46FE14F}" id="{061ECB44-B414-48B3-9C46-D2D6F2656D09}">
    <text xml:space="preserve">Checked for cannibalization risk against Alcon's existing OTC dry-eye portfolio (Systane, GenTeal): minimal risk identified. Tryptyr is Alcon's first prescription pharmaceutical product, mechanistically distinct (first-in-class TRPM8 receptor agonist) from Systane's OTC lubricating approach, and Alcon explicitly positions it as complementary within a 'comprehensive portfolio from OTC to prescription' (Source: Alcon investor press release, July 2025) rather than as a substitute for existing offerings. </text>
  </threadedComment>
  <threadedComment ref="B19" dT="2026-06-26T22:09:54.52" personId="{710AFBF6-A1A8-43F6-A509-91AEB46FE14F}" id="{12D28317-4FBE-4C2E-A4F7-1437A2ACBA75}">
    <text xml:space="preserve">Values recorded by manually toggling each Option's model tab (Option_A_Tryptyr / Option_B_LensExpansion, cell B4) to each scenario and capturing the resulting NPV. Not live-linked, to avoid building a duplicate calculation engine on this summary tab — source of truth for the underlying mechanism remains the toggle-driven formulas on each model tab. Recorded and verified [6/26/26]. </text>
  </threadedComment>
  <threadedComment ref="B22" dT="2026-06-26T22:31:04.33" personId="{710AFBF6-A1A8-43F6-A509-91AEB46FE14F}" id="{4BAC5B22-9008-42DE-B14F-BEA0ECD83245}">
    <text xml:space="preserve">Discounted payback period was computed and is positive in Year 1 for both options across all scenarios — but this result is mechanically guaranteed by the cost structure (commercial spend modeled as % of incremental revenue, no fixed upfront outlay), not a reflection of differentiated investment risk between the options. If real fixed launch costs (sales force build-out, ECP education program setup, etc. — explicitly scoped out of this model) were incorporated, payback period could look materially different and would become a genuinely informative differentiator. Excluded here only because no sourced fixed-cost data was available to model it credibly.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E4E9F-250B-4254-9E37-9712E599C719}">
  <dimension ref="A1:E28"/>
  <sheetViews>
    <sheetView tabSelected="1" workbookViewId="0"/>
  </sheetViews>
  <sheetFormatPr defaultRowHeight="14.4" x14ac:dyDescent="0.3"/>
  <cols>
    <col min="1" max="1" width="35.33203125" customWidth="1"/>
    <col min="3" max="3" width="50.77734375" customWidth="1"/>
    <col min="4" max="4" width="9.44140625" customWidth="1"/>
  </cols>
  <sheetData>
    <row r="1" spans="1:5" ht="18" x14ac:dyDescent="0.35">
      <c r="A1" s="1" t="s">
        <v>0</v>
      </c>
    </row>
    <row r="2" spans="1:5" ht="15.6" x14ac:dyDescent="0.3">
      <c r="A2" s="2" t="s">
        <v>1</v>
      </c>
    </row>
    <row r="3" spans="1:5" x14ac:dyDescent="0.3">
      <c r="A3" s="3" t="s">
        <v>2</v>
      </c>
    </row>
    <row r="6" spans="1:5" ht="15.6" x14ac:dyDescent="0.3">
      <c r="A6" s="4" t="s">
        <v>3</v>
      </c>
      <c r="B6" s="5"/>
      <c r="C6" s="5"/>
      <c r="D6" s="5"/>
    </row>
    <row r="7" spans="1:5" x14ac:dyDescent="0.3">
      <c r="A7" s="6" t="s">
        <v>4</v>
      </c>
      <c r="B7" s="6" t="s">
        <v>5</v>
      </c>
      <c r="C7" s="6" t="s">
        <v>6</v>
      </c>
    </row>
    <row r="8" spans="1:5" x14ac:dyDescent="0.3">
      <c r="A8" t="s">
        <v>7</v>
      </c>
      <c r="B8" s="8">
        <v>5</v>
      </c>
      <c r="C8" t="s">
        <v>8</v>
      </c>
    </row>
    <row r="9" spans="1:5" x14ac:dyDescent="0.3">
      <c r="A9" t="s">
        <v>9</v>
      </c>
      <c r="B9" s="7" t="s">
        <v>10</v>
      </c>
      <c r="C9" t="s">
        <v>11</v>
      </c>
    </row>
    <row r="10" spans="1:5" x14ac:dyDescent="0.3">
      <c r="A10" t="s">
        <v>12</v>
      </c>
      <c r="B10" s="9">
        <v>0.09</v>
      </c>
      <c r="C10" t="s">
        <v>13</v>
      </c>
    </row>
    <row r="11" spans="1:5" x14ac:dyDescent="0.3">
      <c r="A11" t="s">
        <v>35</v>
      </c>
      <c r="B11" s="11" t="s">
        <v>36</v>
      </c>
      <c r="C11" t="s">
        <v>37</v>
      </c>
    </row>
    <row r="14" spans="1:5" ht="15.6" x14ac:dyDescent="0.3">
      <c r="A14" s="4" t="s">
        <v>14</v>
      </c>
      <c r="B14" s="5"/>
      <c r="C14" s="5"/>
      <c r="D14" s="5"/>
      <c r="E14" s="5"/>
    </row>
    <row r="15" spans="1:5" x14ac:dyDescent="0.3">
      <c r="A15" s="6" t="s">
        <v>4</v>
      </c>
      <c r="B15" s="6" t="s">
        <v>15</v>
      </c>
      <c r="C15" s="6" t="s">
        <v>16</v>
      </c>
      <c r="D15" s="6" t="s">
        <v>17</v>
      </c>
      <c r="E15" s="6" t="s">
        <v>6</v>
      </c>
    </row>
    <row r="16" spans="1:5" x14ac:dyDescent="0.3">
      <c r="A16" t="s">
        <v>18</v>
      </c>
      <c r="B16" s="9">
        <v>0.05</v>
      </c>
      <c r="C16" s="9">
        <v>7.4999999999999997E-2</v>
      </c>
      <c r="D16" s="9">
        <v>0.03</v>
      </c>
      <c r="E16" t="s">
        <v>19</v>
      </c>
    </row>
    <row r="17" spans="1:5" x14ac:dyDescent="0.3">
      <c r="A17" t="s">
        <v>20</v>
      </c>
      <c r="B17" s="36" t="s">
        <v>21</v>
      </c>
      <c r="C17" s="36"/>
      <c r="D17" s="36"/>
      <c r="E17" t="s">
        <v>22</v>
      </c>
    </row>
    <row r="18" spans="1:5" x14ac:dyDescent="0.3">
      <c r="A18" t="s">
        <v>23</v>
      </c>
      <c r="B18" s="37" t="s">
        <v>24</v>
      </c>
      <c r="C18" s="37"/>
      <c r="D18" s="37"/>
      <c r="E18" t="s">
        <v>25</v>
      </c>
    </row>
    <row r="19" spans="1:5" x14ac:dyDescent="0.3">
      <c r="A19" t="s">
        <v>26</v>
      </c>
      <c r="B19" s="38">
        <v>0.22500000000000001</v>
      </c>
      <c r="C19" s="38"/>
      <c r="D19" s="38"/>
      <c r="E19" t="s">
        <v>27</v>
      </c>
    </row>
    <row r="20" spans="1:5" x14ac:dyDescent="0.3">
      <c r="A20" t="s">
        <v>50</v>
      </c>
      <c r="B20" s="38">
        <v>0.02</v>
      </c>
      <c r="C20" s="38"/>
      <c r="D20" s="38"/>
      <c r="E20" t="s">
        <v>51</v>
      </c>
    </row>
    <row r="23" spans="1:5" ht="15.6" x14ac:dyDescent="0.3">
      <c r="A23" s="4" t="s">
        <v>28</v>
      </c>
      <c r="B23" s="5"/>
      <c r="C23" s="5"/>
      <c r="D23" s="5"/>
      <c r="E23" s="5"/>
    </row>
    <row r="24" spans="1:5" x14ac:dyDescent="0.3">
      <c r="A24" s="6" t="s">
        <v>4</v>
      </c>
      <c r="B24" s="6" t="s">
        <v>15</v>
      </c>
      <c r="C24" s="6" t="s">
        <v>16</v>
      </c>
      <c r="D24" s="6" t="s">
        <v>17</v>
      </c>
      <c r="E24" s="6" t="s">
        <v>6</v>
      </c>
    </row>
    <row r="25" spans="1:5" x14ac:dyDescent="0.3">
      <c r="A25" t="s">
        <v>29</v>
      </c>
      <c r="B25" s="10">
        <v>7.4999999999999997E-3</v>
      </c>
      <c r="C25" s="10">
        <v>1.4999999999999999E-2</v>
      </c>
      <c r="D25" s="10">
        <v>2.5000000000000001E-3</v>
      </c>
      <c r="E25" t="s">
        <v>30</v>
      </c>
    </row>
    <row r="26" spans="1:5" x14ac:dyDescent="0.3">
      <c r="A26" t="s">
        <v>20</v>
      </c>
      <c r="B26" s="36" t="s">
        <v>31</v>
      </c>
      <c r="C26" s="36"/>
      <c r="D26" s="36"/>
      <c r="E26" t="s">
        <v>32</v>
      </c>
    </row>
    <row r="27" spans="1:5" x14ac:dyDescent="0.3">
      <c r="A27" t="s">
        <v>33</v>
      </c>
      <c r="B27" s="38">
        <v>0.125</v>
      </c>
      <c r="C27" s="38"/>
      <c r="D27" s="38"/>
      <c r="E27" t="s">
        <v>34</v>
      </c>
    </row>
    <row r="28" spans="1:5" x14ac:dyDescent="0.3">
      <c r="A28" t="s">
        <v>69</v>
      </c>
      <c r="B28" s="35">
        <v>0.18</v>
      </c>
      <c r="C28" s="35"/>
      <c r="D28" s="35"/>
      <c r="E28" t="s">
        <v>70</v>
      </c>
    </row>
  </sheetData>
  <mergeCells count="7">
    <mergeCell ref="B28:D28"/>
    <mergeCell ref="B17:D17"/>
    <mergeCell ref="B18:D18"/>
    <mergeCell ref="B19:D19"/>
    <mergeCell ref="B26:D26"/>
    <mergeCell ref="B27:D27"/>
    <mergeCell ref="B20:D20"/>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B218D-F16A-42BA-AEC4-FAF0102CBEEB}">
  <dimension ref="A1:Z55"/>
  <sheetViews>
    <sheetView topLeftCell="A9" workbookViewId="0">
      <selection activeCell="A38" sqref="A38"/>
    </sheetView>
  </sheetViews>
  <sheetFormatPr defaultRowHeight="14.4" outlineLevelRow="1" x14ac:dyDescent="0.3"/>
  <cols>
    <col min="1" max="1" width="36.21875" customWidth="1"/>
    <col min="2" max="6" width="9.5546875" bestFit="1" customWidth="1"/>
  </cols>
  <sheetData>
    <row r="1" spans="1:26" ht="18" x14ac:dyDescent="0.35">
      <c r="A1" s="1" t="s">
        <v>38</v>
      </c>
      <c r="Z1" s="15"/>
    </row>
    <row r="2" spans="1:26" x14ac:dyDescent="0.3">
      <c r="A2" s="3" t="s">
        <v>66</v>
      </c>
      <c r="Z2" s="13"/>
    </row>
    <row r="3" spans="1:26" x14ac:dyDescent="0.3">
      <c r="Z3" s="13"/>
    </row>
    <row r="4" spans="1:26" x14ac:dyDescent="0.3">
      <c r="A4" s="6" t="s">
        <v>39</v>
      </c>
      <c r="B4" s="8" t="s">
        <v>15</v>
      </c>
      <c r="Z4" s="13"/>
    </row>
    <row r="6" spans="1:26" x14ac:dyDescent="0.3">
      <c r="A6" s="6" t="s">
        <v>4</v>
      </c>
      <c r="B6" s="6" t="s">
        <v>40</v>
      </c>
      <c r="C6" s="6" t="s">
        <v>41</v>
      </c>
      <c r="D6" s="6" t="s">
        <v>42</v>
      </c>
      <c r="E6" s="6" t="s">
        <v>43</v>
      </c>
      <c r="F6" s="6" t="s">
        <v>44</v>
      </c>
    </row>
    <row r="7" spans="1:26" x14ac:dyDescent="0.3">
      <c r="A7" s="6" t="s">
        <v>47</v>
      </c>
      <c r="B7" s="9">
        <v>6.6000000000000003E-2</v>
      </c>
      <c r="C7" s="6"/>
      <c r="D7" s="6"/>
      <c r="E7" s="6"/>
      <c r="F7" s="6"/>
    </row>
    <row r="8" spans="1:26" x14ac:dyDescent="0.3">
      <c r="A8" s="6" t="s">
        <v>46</v>
      </c>
      <c r="B8" s="16">
        <v>7.1</v>
      </c>
      <c r="C8" s="17">
        <f>B8*(1+$B$7)</f>
        <v>7.5686</v>
      </c>
      <c r="D8" s="17">
        <f t="shared" ref="D8:F8" si="0">C8*(1+$B$7)</f>
        <v>8.0681276000000004</v>
      </c>
      <c r="E8" s="17">
        <f t="shared" si="0"/>
        <v>8.6006240216000016</v>
      </c>
      <c r="F8" s="17">
        <f t="shared" si="0"/>
        <v>9.1682652070256019</v>
      </c>
    </row>
    <row r="9" spans="1:26" x14ac:dyDescent="0.3">
      <c r="A9" s="6" t="s">
        <v>45</v>
      </c>
      <c r="B9" s="12">
        <f>INDEX(Cover_Assumptions!B16:D16,MATCH($B$4,Cover_Assumptions!B15:D15,0))</f>
        <v>0.05</v>
      </c>
    </row>
    <row r="10" spans="1:26" x14ac:dyDescent="0.3">
      <c r="A10" s="6" t="s">
        <v>48</v>
      </c>
      <c r="B10" s="14">
        <v>0.15</v>
      </c>
      <c r="C10" s="14">
        <v>0.5</v>
      </c>
      <c r="D10" s="14">
        <v>0.85</v>
      </c>
      <c r="E10" s="14">
        <v>1</v>
      </c>
      <c r="F10" s="14">
        <v>1</v>
      </c>
    </row>
    <row r="11" spans="1:26" x14ac:dyDescent="0.3">
      <c r="A11" s="6" t="s">
        <v>49</v>
      </c>
      <c r="B11" s="15">
        <f>B8*$B$9*B10</f>
        <v>5.3249999999999999E-2</v>
      </c>
      <c r="C11" s="15">
        <f t="shared" ref="C11:F11" si="1">C8*$B$9*C10</f>
        <v>0.18921500000000002</v>
      </c>
      <c r="D11" s="15">
        <f t="shared" si="1"/>
        <v>0.34289542300000003</v>
      </c>
      <c r="E11" s="15">
        <f t="shared" si="1"/>
        <v>0.43003120108000009</v>
      </c>
      <c r="F11" s="15">
        <f t="shared" si="1"/>
        <v>0.45841326035128011</v>
      </c>
    </row>
    <row r="12" spans="1:26" x14ac:dyDescent="0.3">
      <c r="A12" s="6" t="s">
        <v>52</v>
      </c>
      <c r="B12" s="12">
        <f>Cover_Assumptions!B20</f>
        <v>0.02</v>
      </c>
    </row>
    <row r="13" spans="1:26" x14ac:dyDescent="0.3">
      <c r="A13" s="6" t="s">
        <v>53</v>
      </c>
      <c r="B13" s="14">
        <v>0.08</v>
      </c>
      <c r="C13" s="14">
        <v>0.25</v>
      </c>
      <c r="D13" s="14">
        <v>0.5</v>
      </c>
      <c r="E13" s="14">
        <v>0.75</v>
      </c>
      <c r="F13" s="14">
        <v>1</v>
      </c>
    </row>
    <row r="14" spans="1:26" x14ac:dyDescent="0.3">
      <c r="A14" s="6" t="s">
        <v>54</v>
      </c>
      <c r="B14" s="15">
        <f>B8*$B$12*B13</f>
        <v>1.1359999999999999E-2</v>
      </c>
      <c r="C14" s="15">
        <f t="shared" ref="C14:F14" si="2">C8*$B$12*C13</f>
        <v>3.7843000000000002E-2</v>
      </c>
      <c r="D14" s="15">
        <f t="shared" si="2"/>
        <v>8.068127600000001E-2</v>
      </c>
      <c r="E14" s="15">
        <f t="shared" si="2"/>
        <v>0.12900936032400004</v>
      </c>
      <c r="F14" s="15">
        <f t="shared" si="2"/>
        <v>0.18336530414051205</v>
      </c>
    </row>
    <row r="16" spans="1:26" x14ac:dyDescent="0.3">
      <c r="A16" s="18" t="s">
        <v>55</v>
      </c>
      <c r="B16" s="19">
        <f>B11-B14</f>
        <v>4.1889999999999997E-2</v>
      </c>
      <c r="C16" s="19">
        <f t="shared" ref="C16:F16" si="3">C11-C14</f>
        <v>0.15137200000000001</v>
      </c>
      <c r="D16" s="19">
        <f t="shared" si="3"/>
        <v>0.26221414700000001</v>
      </c>
      <c r="E16" s="19">
        <f t="shared" si="3"/>
        <v>0.30102184075600003</v>
      </c>
      <c r="F16" s="19">
        <f t="shared" si="3"/>
        <v>0.27504795621076805</v>
      </c>
    </row>
    <row r="17" spans="1:12" x14ac:dyDescent="0.3">
      <c r="A17" s="6" t="s">
        <v>56</v>
      </c>
      <c r="B17" s="20">
        <f>B16*Cover_Assumptions!$B$19</f>
        <v>9.4252499999999996E-3</v>
      </c>
      <c r="C17" s="20">
        <f>C16*Cover_Assumptions!$B$19</f>
        <v>3.4058700000000004E-2</v>
      </c>
      <c r="D17" s="20">
        <f>D16*Cover_Assumptions!$B$19</f>
        <v>5.8998183075000002E-2</v>
      </c>
      <c r="E17" s="20">
        <f>E16*Cover_Assumptions!$B$19</f>
        <v>6.7729914170100006E-2</v>
      </c>
      <c r="F17" s="20">
        <f>F16*Cover_Assumptions!$B$19</f>
        <v>6.1885790147422813E-2</v>
      </c>
    </row>
    <row r="18" spans="1:12" x14ac:dyDescent="0.3">
      <c r="A18" s="22" t="s">
        <v>57</v>
      </c>
      <c r="B18" s="23">
        <f>B16-B17</f>
        <v>3.2464750000000001E-2</v>
      </c>
      <c r="C18" s="23">
        <f t="shared" ref="C18:F18" si="4">C16-C17</f>
        <v>0.11731330000000001</v>
      </c>
      <c r="D18" s="23">
        <f t="shared" si="4"/>
        <v>0.20321596392500002</v>
      </c>
      <c r="E18" s="23">
        <f t="shared" si="4"/>
        <v>0.23329192658590003</v>
      </c>
      <c r="F18" s="23">
        <f t="shared" si="4"/>
        <v>0.21316216606334523</v>
      </c>
    </row>
    <row r="20" spans="1:12" x14ac:dyDescent="0.3">
      <c r="A20" s="6" t="s">
        <v>60</v>
      </c>
      <c r="B20">
        <v>1</v>
      </c>
      <c r="C20">
        <f>B20+1</f>
        <v>2</v>
      </c>
      <c r="D20">
        <f t="shared" ref="D20:F20" si="5">C20+1</f>
        <v>3</v>
      </c>
      <c r="E20">
        <f t="shared" si="5"/>
        <v>4</v>
      </c>
      <c r="F20">
        <f t="shared" si="5"/>
        <v>5</v>
      </c>
    </row>
    <row r="21" spans="1:12" ht="15.6" x14ac:dyDescent="0.3">
      <c r="A21" s="4" t="s">
        <v>58</v>
      </c>
      <c r="B21" s="5"/>
      <c r="C21" s="5"/>
      <c r="D21" s="5"/>
      <c r="E21" s="5"/>
      <c r="F21" s="5"/>
    </row>
    <row r="22" spans="1:12" x14ac:dyDescent="0.3">
      <c r="A22" s="6" t="s">
        <v>59</v>
      </c>
      <c r="B22" s="24">
        <f>1/(1+Cover_Assumptions!$B$10)^B20</f>
        <v>0.9174311926605504</v>
      </c>
      <c r="C22" s="24">
        <f>1/(1+Cover_Assumptions!$B$10)^C20</f>
        <v>0.84167999326655996</v>
      </c>
      <c r="D22" s="24">
        <f>1/(1+Cover_Assumptions!$B$10)^D20</f>
        <v>0.77218348006106419</v>
      </c>
      <c r="E22" s="24">
        <f>1/(1+Cover_Assumptions!$B$10)^E20</f>
        <v>0.7084252110651964</v>
      </c>
      <c r="F22" s="24">
        <f>1/(1+Cover_Assumptions!$B$10)^F20</f>
        <v>0.64993138629834524</v>
      </c>
    </row>
    <row r="23" spans="1:12" x14ac:dyDescent="0.3">
      <c r="A23" s="6" t="s">
        <v>61</v>
      </c>
      <c r="B23" s="15">
        <f>B18*B22</f>
        <v>2.9784174311926603E-2</v>
      </c>
      <c r="C23" s="15">
        <f t="shared" ref="C23:F23" si="6">C18*C22</f>
        <v>9.8740257554077934E-2</v>
      </c>
      <c r="D23" s="15">
        <f t="shared" si="6"/>
        <v>0.15692001022757018</v>
      </c>
      <c r="E23" s="15">
        <f t="shared" si="6"/>
        <v>0.16526988233142254</v>
      </c>
      <c r="F23" s="15">
        <f t="shared" si="6"/>
        <v>0.13854078209590806</v>
      </c>
    </row>
    <row r="24" spans="1:12" x14ac:dyDescent="0.3">
      <c r="A24" s="6" t="s">
        <v>117</v>
      </c>
      <c r="B24" s="15">
        <f>B23</f>
        <v>2.9784174311926603E-2</v>
      </c>
      <c r="C24" s="15">
        <f>C23+B24</f>
        <v>0.12852443186600454</v>
      </c>
      <c r="D24" s="15">
        <f t="shared" ref="D24:F24" si="7">D23+C24</f>
        <v>0.28544444209357472</v>
      </c>
      <c r="E24" s="15">
        <f t="shared" si="7"/>
        <v>0.45071432442499726</v>
      </c>
      <c r="F24" s="15">
        <f t="shared" si="7"/>
        <v>0.58925510652090529</v>
      </c>
    </row>
    <row r="25" spans="1:12" ht="15" thickBot="1" x14ac:dyDescent="0.35"/>
    <row r="26" spans="1:12" ht="16.2" thickBot="1" x14ac:dyDescent="0.35">
      <c r="A26" s="2" t="s">
        <v>62</v>
      </c>
      <c r="B26" s="26">
        <f>SUM(B23:F23)</f>
        <v>0.58925510652090529</v>
      </c>
    </row>
    <row r="29" spans="1:12" ht="15.6" x14ac:dyDescent="0.3">
      <c r="A29" s="4" t="s">
        <v>73</v>
      </c>
      <c r="B29" s="5"/>
      <c r="C29" s="5"/>
      <c r="D29" s="5"/>
      <c r="E29" s="5"/>
      <c r="F29" s="5"/>
      <c r="G29" s="5"/>
    </row>
    <row r="30" spans="1:12" x14ac:dyDescent="0.3">
      <c r="B30" s="15">
        <f>B26</f>
        <v>0.58925510652090529</v>
      </c>
      <c r="C30" s="9">
        <v>0.03</v>
      </c>
      <c r="D30" s="9">
        <v>3.5000000000000003E-2</v>
      </c>
      <c r="E30" s="9">
        <v>0.04</v>
      </c>
      <c r="F30" s="9">
        <v>4.4999999999999998E-2</v>
      </c>
      <c r="G30" s="9">
        <v>0.05</v>
      </c>
      <c r="H30" s="9">
        <v>5.5E-2</v>
      </c>
      <c r="I30" s="9">
        <v>0.06</v>
      </c>
      <c r="J30" s="9">
        <v>6.5000000000000002E-2</v>
      </c>
      <c r="K30" s="9">
        <v>7.0000000000000007E-2</v>
      </c>
      <c r="L30" s="9">
        <v>7.4999999999999997E-2</v>
      </c>
    </row>
    <row r="31" spans="1:12" x14ac:dyDescent="0.3">
      <c r="B31" s="9">
        <v>0.1</v>
      </c>
      <c r="C31" s="15">
        <f>INDEX($G$45:$G$54,MATCH(C$30,$A$45:$A$54,0))*(1-$B31)</f>
        <v>0.29712633915936854</v>
      </c>
      <c r="D31" s="15">
        <f t="shared" ref="D31:L40" si="8">INDEX($G$45:$G$54,MATCH(D$30,$A$45:$A$54,0))*(1-$B31)</f>
        <v>0.39391881755301505</v>
      </c>
      <c r="E31" s="15">
        <f t="shared" si="8"/>
        <v>0.49071129594666163</v>
      </c>
      <c r="F31" s="15">
        <f t="shared" si="8"/>
        <v>0.58750377434030798</v>
      </c>
      <c r="G31" s="15">
        <f t="shared" si="8"/>
        <v>0.68429625273395456</v>
      </c>
      <c r="H31" s="15">
        <f t="shared" si="8"/>
        <v>0.78108873112760102</v>
      </c>
      <c r="I31" s="15">
        <f t="shared" si="8"/>
        <v>0.8778812095212476</v>
      </c>
      <c r="J31" s="15">
        <f t="shared" si="8"/>
        <v>0.97467368791489428</v>
      </c>
      <c r="K31" s="15">
        <f t="shared" si="8"/>
        <v>1.0714661663085407</v>
      </c>
      <c r="L31" s="15">
        <f t="shared" si="8"/>
        <v>1.168258644702187</v>
      </c>
    </row>
    <row r="32" spans="1:12" x14ac:dyDescent="0.3">
      <c r="B32" s="9">
        <v>0.125</v>
      </c>
      <c r="C32" s="15">
        <f t="shared" ref="C32:C40" si="9">INDEX($G$45:$G$54,MATCH(C$30,$A$45:$A$54,0))*(1-$B32)</f>
        <v>0.28887282973827494</v>
      </c>
      <c r="D32" s="15">
        <f t="shared" si="8"/>
        <v>0.38297662817654238</v>
      </c>
      <c r="E32" s="15">
        <f t="shared" si="8"/>
        <v>0.47708042661480987</v>
      </c>
      <c r="F32" s="15">
        <f t="shared" si="8"/>
        <v>0.5711842250530772</v>
      </c>
      <c r="G32" s="15">
        <f t="shared" si="8"/>
        <v>0.66528802349134464</v>
      </c>
      <c r="H32" s="15">
        <f t="shared" si="8"/>
        <v>0.75939182192961208</v>
      </c>
      <c r="I32" s="15">
        <f t="shared" si="8"/>
        <v>0.85349562036787952</v>
      </c>
      <c r="J32" s="15">
        <f t="shared" si="8"/>
        <v>0.94759941880614718</v>
      </c>
      <c r="K32" s="15">
        <f t="shared" si="8"/>
        <v>1.0417032172444145</v>
      </c>
      <c r="L32" s="15">
        <f t="shared" si="8"/>
        <v>1.1358070156826818</v>
      </c>
    </row>
    <row r="33" spans="1:12" x14ac:dyDescent="0.3">
      <c r="B33" s="9">
        <v>0.15</v>
      </c>
      <c r="C33" s="15">
        <f t="shared" si="9"/>
        <v>0.2806193203171814</v>
      </c>
      <c r="D33" s="15">
        <f t="shared" si="8"/>
        <v>0.37203443880006976</v>
      </c>
      <c r="E33" s="15">
        <f t="shared" si="8"/>
        <v>0.46344955728295817</v>
      </c>
      <c r="F33" s="15">
        <f t="shared" si="8"/>
        <v>0.55486467576584642</v>
      </c>
      <c r="G33" s="15">
        <f t="shared" si="8"/>
        <v>0.64627979424873483</v>
      </c>
      <c r="H33" s="15">
        <f t="shared" si="8"/>
        <v>0.73769491273162313</v>
      </c>
      <c r="I33" s="15">
        <f t="shared" si="8"/>
        <v>0.82911003121451154</v>
      </c>
      <c r="J33" s="15">
        <f t="shared" si="8"/>
        <v>0.92052514969740007</v>
      </c>
      <c r="K33" s="15">
        <f t="shared" si="8"/>
        <v>1.0119402681802885</v>
      </c>
      <c r="L33" s="15">
        <f t="shared" si="8"/>
        <v>1.1033553866631767</v>
      </c>
    </row>
    <row r="34" spans="1:12" x14ac:dyDescent="0.3">
      <c r="B34" s="9">
        <v>0.17499999999999999</v>
      </c>
      <c r="C34" s="15">
        <f t="shared" si="9"/>
        <v>0.2723658108960878</v>
      </c>
      <c r="D34" s="15">
        <f t="shared" si="8"/>
        <v>0.36109224942359708</v>
      </c>
      <c r="E34" s="15">
        <f t="shared" si="8"/>
        <v>0.44981868795110647</v>
      </c>
      <c r="F34" s="15">
        <f t="shared" si="8"/>
        <v>0.53854512647861563</v>
      </c>
      <c r="G34" s="15">
        <f t="shared" si="8"/>
        <v>0.62727156500612491</v>
      </c>
      <c r="H34" s="15">
        <f t="shared" si="8"/>
        <v>0.71599800353363419</v>
      </c>
      <c r="I34" s="15">
        <f t="shared" si="8"/>
        <v>0.80472444206114357</v>
      </c>
      <c r="J34" s="15">
        <f t="shared" si="8"/>
        <v>0.89345088058865296</v>
      </c>
      <c r="K34" s="15">
        <f t="shared" si="8"/>
        <v>0.98217731911616235</v>
      </c>
      <c r="L34" s="15">
        <f t="shared" si="8"/>
        <v>1.0709037576436715</v>
      </c>
    </row>
    <row r="35" spans="1:12" x14ac:dyDescent="0.3">
      <c r="B35" s="9">
        <v>0.2</v>
      </c>
      <c r="C35" s="15">
        <f t="shared" si="9"/>
        <v>0.26411230147499426</v>
      </c>
      <c r="D35" s="15">
        <f t="shared" si="8"/>
        <v>0.35015006004712451</v>
      </c>
      <c r="E35" s="15">
        <f t="shared" si="8"/>
        <v>0.43618781861925476</v>
      </c>
      <c r="F35" s="15">
        <f t="shared" si="8"/>
        <v>0.52222557719138496</v>
      </c>
      <c r="G35" s="15">
        <f t="shared" si="8"/>
        <v>0.60826333576351521</v>
      </c>
      <c r="H35" s="15">
        <f t="shared" si="8"/>
        <v>0.69430109433564535</v>
      </c>
      <c r="I35" s="15">
        <f t="shared" si="8"/>
        <v>0.7803388529077756</v>
      </c>
      <c r="J35" s="15">
        <f t="shared" si="8"/>
        <v>0.86637661147990608</v>
      </c>
      <c r="K35" s="15">
        <f t="shared" si="8"/>
        <v>0.95241437005203622</v>
      </c>
      <c r="L35" s="15">
        <f t="shared" si="8"/>
        <v>1.0384521286241664</v>
      </c>
    </row>
    <row r="36" spans="1:12" x14ac:dyDescent="0.3">
      <c r="B36" s="9">
        <v>0.22500000000000001</v>
      </c>
      <c r="C36" s="15">
        <f t="shared" si="9"/>
        <v>0.25585879205390066</v>
      </c>
      <c r="D36" s="15">
        <f t="shared" si="8"/>
        <v>0.33920787067065183</v>
      </c>
      <c r="E36" s="15">
        <f t="shared" si="8"/>
        <v>0.42255694928740306</v>
      </c>
      <c r="F36" s="15">
        <f t="shared" si="8"/>
        <v>0.50590602790415418</v>
      </c>
      <c r="G36" s="25">
        <f t="shared" si="8"/>
        <v>0.58925510652090529</v>
      </c>
      <c r="H36" s="15">
        <f t="shared" si="8"/>
        <v>0.67260418513765641</v>
      </c>
      <c r="I36" s="15">
        <f t="shared" si="8"/>
        <v>0.75595326375440763</v>
      </c>
      <c r="J36" s="15">
        <f t="shared" si="8"/>
        <v>0.83930234237115897</v>
      </c>
      <c r="K36" s="15">
        <f t="shared" si="8"/>
        <v>0.92265142098791009</v>
      </c>
      <c r="L36" s="15">
        <f t="shared" si="8"/>
        <v>1.0060004996046612</v>
      </c>
    </row>
    <row r="37" spans="1:12" x14ac:dyDescent="0.3">
      <c r="B37" s="9">
        <v>0.25</v>
      </c>
      <c r="C37" s="15">
        <f t="shared" si="9"/>
        <v>0.24760528263280712</v>
      </c>
      <c r="D37" s="15">
        <f t="shared" si="8"/>
        <v>0.32826568129417921</v>
      </c>
      <c r="E37" s="15">
        <f t="shared" si="8"/>
        <v>0.4089260799555513</v>
      </c>
      <c r="F37" s="15">
        <f t="shared" si="8"/>
        <v>0.48958647861692334</v>
      </c>
      <c r="G37" s="15">
        <f t="shared" si="8"/>
        <v>0.57024687727829537</v>
      </c>
      <c r="H37" s="15">
        <f t="shared" si="8"/>
        <v>0.65090727593966746</v>
      </c>
      <c r="I37" s="15">
        <f t="shared" si="8"/>
        <v>0.73156767460103955</v>
      </c>
      <c r="J37" s="15">
        <f t="shared" si="8"/>
        <v>0.81222807326241186</v>
      </c>
      <c r="K37" s="15">
        <f t="shared" si="8"/>
        <v>0.89288847192378396</v>
      </c>
      <c r="L37" s="15">
        <f t="shared" si="8"/>
        <v>0.97354887058515582</v>
      </c>
    </row>
    <row r="38" spans="1:12" x14ac:dyDescent="0.3">
      <c r="B38" s="9">
        <v>0.27500000000000002</v>
      </c>
      <c r="C38" s="15">
        <f t="shared" si="9"/>
        <v>0.23935177321171353</v>
      </c>
      <c r="D38" s="15">
        <f t="shared" si="8"/>
        <v>0.31732349191770653</v>
      </c>
      <c r="E38" s="15">
        <f t="shared" si="8"/>
        <v>0.3952952106236996</v>
      </c>
      <c r="F38" s="15">
        <f t="shared" si="8"/>
        <v>0.47326692932969255</v>
      </c>
      <c r="G38" s="15">
        <f t="shared" si="8"/>
        <v>0.55123864803568556</v>
      </c>
      <c r="H38" s="15">
        <f t="shared" si="8"/>
        <v>0.62921036674167863</v>
      </c>
      <c r="I38" s="15">
        <f t="shared" si="8"/>
        <v>0.70718208544767158</v>
      </c>
      <c r="J38" s="15">
        <f t="shared" si="8"/>
        <v>0.78515380415366476</v>
      </c>
      <c r="K38" s="15">
        <f t="shared" si="8"/>
        <v>0.86312552285965782</v>
      </c>
      <c r="L38" s="15">
        <f t="shared" si="8"/>
        <v>0.94109724156565067</v>
      </c>
    </row>
    <row r="39" spans="1:12" x14ac:dyDescent="0.3">
      <c r="B39" s="9">
        <v>0.3</v>
      </c>
      <c r="C39" s="15">
        <f t="shared" si="9"/>
        <v>0.23109826379061996</v>
      </c>
      <c r="D39" s="15">
        <f t="shared" si="8"/>
        <v>0.30638130254123391</v>
      </c>
      <c r="E39" s="15">
        <f t="shared" si="8"/>
        <v>0.3816643412918479</v>
      </c>
      <c r="F39" s="15">
        <f t="shared" si="8"/>
        <v>0.45694738004246177</v>
      </c>
      <c r="G39" s="15">
        <f t="shared" si="8"/>
        <v>0.53223041879307564</v>
      </c>
      <c r="H39" s="15">
        <f t="shared" si="8"/>
        <v>0.60751345754368968</v>
      </c>
      <c r="I39" s="15">
        <f t="shared" si="8"/>
        <v>0.68279649629430361</v>
      </c>
      <c r="J39" s="15">
        <f t="shared" si="8"/>
        <v>0.75807953504491765</v>
      </c>
      <c r="K39" s="15">
        <f t="shared" si="8"/>
        <v>0.83336257379553169</v>
      </c>
      <c r="L39" s="15">
        <f t="shared" si="8"/>
        <v>0.9086456125461454</v>
      </c>
    </row>
    <row r="40" spans="1:12" x14ac:dyDescent="0.3">
      <c r="B40" s="9">
        <v>0.32500000000000001</v>
      </c>
      <c r="C40" s="15">
        <f t="shared" si="9"/>
        <v>0.22284475436952642</v>
      </c>
      <c r="D40" s="15">
        <f t="shared" si="8"/>
        <v>0.29543911316476129</v>
      </c>
      <c r="E40" s="15">
        <f t="shared" si="8"/>
        <v>0.36803347195999619</v>
      </c>
      <c r="F40" s="15">
        <f t="shared" si="8"/>
        <v>0.44062783075523104</v>
      </c>
      <c r="G40" s="15">
        <f t="shared" si="8"/>
        <v>0.51322218955046595</v>
      </c>
      <c r="H40" s="15">
        <f t="shared" si="8"/>
        <v>0.58581654834570085</v>
      </c>
      <c r="I40" s="15">
        <f t="shared" si="8"/>
        <v>0.65841090714093564</v>
      </c>
      <c r="J40" s="15">
        <f t="shared" si="8"/>
        <v>0.73100526593617077</v>
      </c>
      <c r="K40" s="15">
        <f t="shared" si="8"/>
        <v>0.80359962473140556</v>
      </c>
      <c r="L40" s="15">
        <f t="shared" si="8"/>
        <v>0.87619398352664035</v>
      </c>
    </row>
    <row r="43" spans="1:12" ht="15.6" hidden="1" outlineLevel="1" x14ac:dyDescent="0.3">
      <c r="A43" s="4" t="s">
        <v>74</v>
      </c>
      <c r="B43" s="5"/>
      <c r="C43" s="5"/>
      <c r="D43" s="5"/>
      <c r="E43" s="5"/>
      <c r="F43" s="5"/>
      <c r="G43" s="5"/>
    </row>
    <row r="44" spans="1:12" hidden="1" outlineLevel="1" x14ac:dyDescent="0.3">
      <c r="A44" s="6" t="s">
        <v>75</v>
      </c>
      <c r="B44" s="6" t="s">
        <v>40</v>
      </c>
      <c r="C44" s="6" t="s">
        <v>41</v>
      </c>
      <c r="D44" s="6" t="s">
        <v>42</v>
      </c>
      <c r="E44" s="6" t="s">
        <v>43</v>
      </c>
      <c r="F44" s="6" t="s">
        <v>44</v>
      </c>
      <c r="G44" s="6" t="s">
        <v>76</v>
      </c>
    </row>
    <row r="45" spans="1:12" hidden="1" outlineLevel="1" x14ac:dyDescent="0.3">
      <c r="A45" s="9">
        <v>0.03</v>
      </c>
      <c r="B45" s="15">
        <f>B$8*$A45*B$10-B$14</f>
        <v>2.0590000000000001E-2</v>
      </c>
      <c r="C45" s="15">
        <f t="shared" ref="C45:F54" si="10">C$8*$A45*C$10-C$14</f>
        <v>7.5685999999999989E-2</v>
      </c>
      <c r="D45" s="15">
        <f t="shared" si="10"/>
        <v>0.1250559778</v>
      </c>
      <c r="E45" s="15">
        <f t="shared" si="10"/>
        <v>0.12900936032399998</v>
      </c>
      <c r="F45" s="15">
        <f t="shared" si="10"/>
        <v>9.1682652070255999E-2</v>
      </c>
      <c r="G45" s="15">
        <f>SUMPRODUCT(B45:F45,B$22:F$22)</f>
        <v>0.33014037684374281</v>
      </c>
    </row>
    <row r="46" spans="1:12" hidden="1" outlineLevel="1" x14ac:dyDescent="0.3">
      <c r="A46" s="9">
        <v>3.5000000000000003E-2</v>
      </c>
      <c r="B46" s="15">
        <f t="shared" ref="B46:B48" si="11">B$8*$A46*B$10-B$14</f>
        <v>2.5914999999999997E-2</v>
      </c>
      <c r="C46" s="15">
        <f t="shared" si="10"/>
        <v>9.4607499999999997E-2</v>
      </c>
      <c r="D46" s="15">
        <f t="shared" si="10"/>
        <v>0.15934552010000003</v>
      </c>
      <c r="E46" s="15">
        <f t="shared" si="10"/>
        <v>0.17201248043200004</v>
      </c>
      <c r="F46" s="15">
        <f t="shared" si="10"/>
        <v>0.13752397810538403</v>
      </c>
      <c r="G46" s="15">
        <f t="shared" ref="G46:G54" si="12">SUMPRODUCT(B46:F46,B$22:F$22)</f>
        <v>0.4376875750589056</v>
      </c>
    </row>
    <row r="47" spans="1:12" hidden="1" outlineLevel="1" x14ac:dyDescent="0.3">
      <c r="A47" s="9">
        <v>0.04</v>
      </c>
      <c r="B47" s="15">
        <f t="shared" si="11"/>
        <v>3.1239999999999993E-2</v>
      </c>
      <c r="C47" s="15">
        <f t="shared" si="10"/>
        <v>0.113529</v>
      </c>
      <c r="D47" s="15">
        <f t="shared" si="10"/>
        <v>0.1936350624</v>
      </c>
      <c r="E47" s="15">
        <f t="shared" si="10"/>
        <v>0.21501560054000005</v>
      </c>
      <c r="F47" s="15">
        <f t="shared" si="10"/>
        <v>0.18336530414051205</v>
      </c>
      <c r="G47" s="15">
        <f t="shared" si="12"/>
        <v>0.54523477327406844</v>
      </c>
    </row>
    <row r="48" spans="1:12" hidden="1" outlineLevel="1" x14ac:dyDescent="0.3">
      <c r="A48" s="9">
        <v>4.4999999999999998E-2</v>
      </c>
      <c r="B48" s="15">
        <f t="shared" si="11"/>
        <v>3.6564999999999986E-2</v>
      </c>
      <c r="C48" s="15">
        <f t="shared" si="10"/>
        <v>0.13245049999999997</v>
      </c>
      <c r="D48" s="15">
        <f t="shared" si="10"/>
        <v>0.22792460469999998</v>
      </c>
      <c r="E48" s="15">
        <f t="shared" si="10"/>
        <v>0.25801872064800002</v>
      </c>
      <c r="F48" s="15">
        <f t="shared" si="10"/>
        <v>0.22920663017564002</v>
      </c>
      <c r="G48" s="15">
        <f t="shared" si="12"/>
        <v>0.65278197148923112</v>
      </c>
    </row>
    <row r="49" spans="1:7" hidden="1" outlineLevel="1" x14ac:dyDescent="0.3">
      <c r="A49" s="9">
        <v>0.05</v>
      </c>
      <c r="B49" s="15">
        <f>B$8*$A49*B$10-B$14</f>
        <v>4.1889999999999997E-2</v>
      </c>
      <c r="C49" s="15">
        <f t="shared" si="10"/>
        <v>0.15137200000000001</v>
      </c>
      <c r="D49" s="15">
        <f t="shared" si="10"/>
        <v>0.26221414700000001</v>
      </c>
      <c r="E49" s="15">
        <f t="shared" si="10"/>
        <v>0.30102184075600003</v>
      </c>
      <c r="F49" s="15">
        <f t="shared" si="10"/>
        <v>0.27504795621076805</v>
      </c>
      <c r="G49" s="15">
        <f t="shared" si="12"/>
        <v>0.7603291697043939</v>
      </c>
    </row>
    <row r="50" spans="1:7" hidden="1" outlineLevel="1" x14ac:dyDescent="0.3">
      <c r="A50" s="9">
        <v>5.5E-2</v>
      </c>
      <c r="B50" s="15">
        <f>B$8*$A50*B$10-B$14</f>
        <v>4.7214999999999993E-2</v>
      </c>
      <c r="C50" s="15">
        <f t="shared" si="10"/>
        <v>0.17029349999999999</v>
      </c>
      <c r="D50" s="15">
        <f t="shared" si="10"/>
        <v>0.29650368929999998</v>
      </c>
      <c r="E50" s="15">
        <f t="shared" si="10"/>
        <v>0.34402496086400003</v>
      </c>
      <c r="F50" s="15">
        <f t="shared" si="10"/>
        <v>0.32088928224589602</v>
      </c>
      <c r="G50" s="15">
        <f t="shared" si="12"/>
        <v>0.86787636791955669</v>
      </c>
    </row>
    <row r="51" spans="1:7" hidden="1" outlineLevel="1" x14ac:dyDescent="0.3">
      <c r="A51" s="9">
        <v>0.06</v>
      </c>
      <c r="B51" s="15">
        <f>B$8*$A51*B$10-B$14</f>
        <v>5.2540000000000003E-2</v>
      </c>
      <c r="C51" s="15">
        <f t="shared" si="10"/>
        <v>0.18921499999999997</v>
      </c>
      <c r="D51" s="15">
        <f t="shared" si="10"/>
        <v>0.33079323160000002</v>
      </c>
      <c r="E51" s="15">
        <f t="shared" si="10"/>
        <v>0.38702808097200003</v>
      </c>
      <c r="F51" s="15">
        <f t="shared" si="10"/>
        <v>0.36673060828102405</v>
      </c>
      <c r="G51" s="15">
        <f t="shared" si="12"/>
        <v>0.97542356613471948</v>
      </c>
    </row>
    <row r="52" spans="1:7" hidden="1" outlineLevel="1" x14ac:dyDescent="0.3">
      <c r="A52" s="9">
        <v>6.5000000000000002E-2</v>
      </c>
      <c r="B52" s="15">
        <f>B$8*$A52*B$10-B$14</f>
        <v>5.7865E-2</v>
      </c>
      <c r="C52" s="15">
        <f t="shared" si="10"/>
        <v>0.2081365</v>
      </c>
      <c r="D52" s="15">
        <f t="shared" si="10"/>
        <v>0.36508277389999999</v>
      </c>
      <c r="E52" s="15">
        <f t="shared" si="10"/>
        <v>0.43003120108000015</v>
      </c>
      <c r="F52" s="15">
        <f t="shared" si="10"/>
        <v>0.41257193431615208</v>
      </c>
      <c r="G52" s="15">
        <f t="shared" si="12"/>
        <v>1.0829707643498825</v>
      </c>
    </row>
    <row r="53" spans="1:7" hidden="1" outlineLevel="1" x14ac:dyDescent="0.3">
      <c r="A53" s="9">
        <v>7.0000000000000007E-2</v>
      </c>
      <c r="B53" s="15">
        <f t="shared" ref="B53:B54" si="13">B$8*$A53*B$10-B$14</f>
        <v>6.3189999999999996E-2</v>
      </c>
      <c r="C53" s="15">
        <f t="shared" si="10"/>
        <v>0.22705799999999998</v>
      </c>
      <c r="D53" s="15">
        <f t="shared" si="10"/>
        <v>0.39937231620000008</v>
      </c>
      <c r="E53" s="15">
        <f t="shared" si="10"/>
        <v>0.47303432118800015</v>
      </c>
      <c r="F53" s="15">
        <f t="shared" si="10"/>
        <v>0.45841326035128011</v>
      </c>
      <c r="G53" s="15">
        <f t="shared" si="12"/>
        <v>1.1905179625650453</v>
      </c>
    </row>
    <row r="54" spans="1:7" hidden="1" outlineLevel="1" x14ac:dyDescent="0.3">
      <c r="A54" s="9">
        <v>7.4999999999999997E-2</v>
      </c>
      <c r="B54" s="15">
        <f t="shared" si="13"/>
        <v>6.8514999999999993E-2</v>
      </c>
      <c r="C54" s="15">
        <f t="shared" si="10"/>
        <v>0.24597949999999996</v>
      </c>
      <c r="D54" s="15">
        <f t="shared" si="10"/>
        <v>0.4336618585</v>
      </c>
      <c r="E54" s="15">
        <f t="shared" si="10"/>
        <v>0.51603744129600004</v>
      </c>
      <c r="F54" s="15">
        <f t="shared" si="10"/>
        <v>0.50425458638640808</v>
      </c>
      <c r="G54" s="15">
        <f t="shared" si="12"/>
        <v>1.2980651607802078</v>
      </c>
    </row>
    <row r="55" spans="1:7" collapsed="1" x14ac:dyDescent="0.3"/>
  </sheetData>
  <phoneticPr fontId="8" type="noConversion"/>
  <conditionalFormatting sqref="C31:L40">
    <cfRule type="colorScale" priority="1">
      <colorScale>
        <cfvo type="min"/>
        <cfvo type="num" val="0.58899999999999997"/>
        <cfvo type="max"/>
        <color rgb="FFF8696B"/>
        <color rgb="FFFCFCFF"/>
        <color rgb="FF63BE7B"/>
      </colorScale>
    </cfRule>
  </conditionalFormatting>
  <dataValidations count="1">
    <dataValidation type="list" allowBlank="1" showInputMessage="1" showErrorMessage="1" promptTitle="Scenario Toggle" prompt="Select Base, Upside, or Downside to drive all scenario-dependent assumptions on this tab." sqref="B4" xr:uid="{2EB4CE2F-5A8D-423A-B6AC-5C402B9AF669}">
      <formula1>"Base,Upside,Downside"</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9A86F-FE48-4126-8F35-78DAEB40D60D}">
  <dimension ref="A1:H46"/>
  <sheetViews>
    <sheetView workbookViewId="0">
      <selection activeCell="A28" sqref="A28"/>
    </sheetView>
  </sheetViews>
  <sheetFormatPr defaultRowHeight="14.4" outlineLevelRow="1" x14ac:dyDescent="0.3"/>
  <cols>
    <col min="1" max="1" width="48.21875" customWidth="1"/>
    <col min="2" max="2" width="9.5546875" bestFit="1" customWidth="1"/>
  </cols>
  <sheetData>
    <row r="1" spans="1:6" ht="18" x14ac:dyDescent="0.35">
      <c r="A1" s="1" t="s">
        <v>63</v>
      </c>
    </row>
    <row r="2" spans="1:6" x14ac:dyDescent="0.3">
      <c r="A2" s="3" t="s">
        <v>66</v>
      </c>
    </row>
    <row r="4" spans="1:6" x14ac:dyDescent="0.3">
      <c r="A4" s="6" t="s">
        <v>39</v>
      </c>
      <c r="B4" s="8" t="s">
        <v>15</v>
      </c>
    </row>
    <row r="6" spans="1:6" x14ac:dyDescent="0.3">
      <c r="A6" s="6" t="s">
        <v>4</v>
      </c>
      <c r="B6" s="6" t="s">
        <v>40</v>
      </c>
      <c r="C6" s="6" t="s">
        <v>41</v>
      </c>
      <c r="D6" s="6" t="s">
        <v>42</v>
      </c>
      <c r="E6" s="6" t="s">
        <v>43</v>
      </c>
      <c r="F6" s="6" t="s">
        <v>44</v>
      </c>
    </row>
    <row r="7" spans="1:6" x14ac:dyDescent="0.3">
      <c r="A7" s="6" t="s">
        <v>64</v>
      </c>
      <c r="B7" s="9">
        <v>4.8000000000000001E-2</v>
      </c>
    </row>
    <row r="8" spans="1:6" x14ac:dyDescent="0.3">
      <c r="A8" s="6" t="s">
        <v>65</v>
      </c>
      <c r="B8" s="16">
        <v>4.4000000000000004</v>
      </c>
      <c r="C8" s="27">
        <f>B8*(1+$B$7)</f>
        <v>4.6112000000000002</v>
      </c>
      <c r="D8" s="27">
        <f t="shared" ref="D8:F8" si="0">C8*(1+$B$7)</f>
        <v>4.8325376000000002</v>
      </c>
      <c r="E8" s="27">
        <f t="shared" si="0"/>
        <v>5.0644994048000003</v>
      </c>
      <c r="F8" s="27">
        <f t="shared" si="0"/>
        <v>5.3075953762304007</v>
      </c>
    </row>
    <row r="9" spans="1:6" x14ac:dyDescent="0.3">
      <c r="A9" s="6" t="s">
        <v>67</v>
      </c>
      <c r="B9" s="28">
        <f>INDEX(Cover_Assumptions!B25:D25, MATCH($B$4,Cover_Assumptions!B24:D24,0))</f>
        <v>7.4999999999999997E-3</v>
      </c>
    </row>
    <row r="10" spans="1:6" x14ac:dyDescent="0.3">
      <c r="A10" s="6" t="s">
        <v>68</v>
      </c>
      <c r="B10" s="14">
        <v>0.4</v>
      </c>
      <c r="C10" s="14">
        <v>0.8</v>
      </c>
      <c r="D10" s="14">
        <v>1</v>
      </c>
      <c r="E10" s="14">
        <v>1</v>
      </c>
      <c r="F10" s="14">
        <v>1</v>
      </c>
    </row>
    <row r="11" spans="1:6" x14ac:dyDescent="0.3">
      <c r="A11" s="6" t="s">
        <v>49</v>
      </c>
      <c r="B11" s="15">
        <f>B8*($B$12+$B$9*B10)</f>
        <v>0.80520000000000003</v>
      </c>
      <c r="C11" s="15">
        <f t="shared" ref="C11:F11" si="1">C8*($B$12+$B$9*C10)</f>
        <v>0.85768319999999998</v>
      </c>
      <c r="D11" s="15">
        <f t="shared" si="1"/>
        <v>0.90610080000000004</v>
      </c>
      <c r="E11" s="15">
        <f t="shared" si="1"/>
        <v>0.94959363840000011</v>
      </c>
      <c r="F11" s="15">
        <f t="shared" si="1"/>
        <v>0.99517413304320013</v>
      </c>
    </row>
    <row r="12" spans="1:6" x14ac:dyDescent="0.3">
      <c r="A12" s="6" t="s">
        <v>71</v>
      </c>
      <c r="B12" s="29">
        <f>Cover_Assumptions!B28</f>
        <v>0.18</v>
      </c>
    </row>
    <row r="13" spans="1:6" x14ac:dyDescent="0.3">
      <c r="A13" s="6" t="s">
        <v>54</v>
      </c>
      <c r="B13" s="15">
        <f>B8*$B$12</f>
        <v>0.79200000000000004</v>
      </c>
      <c r="C13" s="15">
        <f t="shared" ref="C13:F13" si="2">C8*$B$12</f>
        <v>0.83001599999999998</v>
      </c>
      <c r="D13" s="15">
        <f t="shared" si="2"/>
        <v>0.869856768</v>
      </c>
      <c r="E13" s="15">
        <f t="shared" si="2"/>
        <v>0.91160989286399996</v>
      </c>
      <c r="F13" s="15">
        <f t="shared" si="2"/>
        <v>0.95536716772147212</v>
      </c>
    </row>
    <row r="15" spans="1:6" x14ac:dyDescent="0.3">
      <c r="A15" s="18" t="s">
        <v>55</v>
      </c>
      <c r="B15" s="19">
        <f>B11-B13</f>
        <v>1.319999999999999E-2</v>
      </c>
      <c r="C15" s="19">
        <f t="shared" ref="C15:F15" si="3">C11-C13</f>
        <v>2.7667200000000003E-2</v>
      </c>
      <c r="D15" s="19">
        <f t="shared" si="3"/>
        <v>3.6244032000000037E-2</v>
      </c>
      <c r="E15" s="19">
        <f t="shared" si="3"/>
        <v>3.7983745536000146E-2</v>
      </c>
      <c r="F15" s="19">
        <f t="shared" si="3"/>
        <v>3.9806965321728005E-2</v>
      </c>
    </row>
    <row r="16" spans="1:6" x14ac:dyDescent="0.3">
      <c r="A16" s="6" t="s">
        <v>56</v>
      </c>
      <c r="B16" s="30">
        <f>B15*Cover_Assumptions!$B$27</f>
        <v>1.6499999999999987E-3</v>
      </c>
      <c r="C16" s="30">
        <f>C15*Cover_Assumptions!$B$27</f>
        <v>3.4584000000000004E-3</v>
      </c>
      <c r="D16" s="30">
        <f>D15*Cover_Assumptions!$B$27</f>
        <v>4.5305040000000046E-3</v>
      </c>
      <c r="E16" s="30">
        <f>E15*Cover_Assumptions!$B$27</f>
        <v>4.7479681920000183E-3</v>
      </c>
      <c r="F16" s="30">
        <f>F15*Cover_Assumptions!$B$27</f>
        <v>4.9758706652160006E-3</v>
      </c>
    </row>
    <row r="17" spans="1:8" x14ac:dyDescent="0.3">
      <c r="A17" s="22" t="s">
        <v>57</v>
      </c>
      <c r="B17" s="31">
        <f>B15-B16</f>
        <v>1.1549999999999991E-2</v>
      </c>
      <c r="C17" s="31">
        <f t="shared" ref="C17:F17" si="4">C15-C16</f>
        <v>2.4208800000000003E-2</v>
      </c>
      <c r="D17" s="31">
        <f t="shared" si="4"/>
        <v>3.1713528000000032E-2</v>
      </c>
      <c r="E17" s="31">
        <f t="shared" si="4"/>
        <v>3.3235777344000128E-2</v>
      </c>
      <c r="F17" s="31">
        <f t="shared" si="4"/>
        <v>3.4831094656512004E-2</v>
      </c>
    </row>
    <row r="19" spans="1:8" x14ac:dyDescent="0.3">
      <c r="A19" s="6" t="s">
        <v>60</v>
      </c>
      <c r="B19">
        <v>1</v>
      </c>
      <c r="C19">
        <f>B19+1</f>
        <v>2</v>
      </c>
      <c r="D19">
        <f t="shared" ref="D19:F19" si="5">C19+1</f>
        <v>3</v>
      </c>
      <c r="E19">
        <f t="shared" si="5"/>
        <v>4</v>
      </c>
      <c r="F19">
        <f t="shared" si="5"/>
        <v>5</v>
      </c>
    </row>
    <row r="20" spans="1:8" ht="15.6" x14ac:dyDescent="0.3">
      <c r="A20" s="4" t="s">
        <v>58</v>
      </c>
      <c r="B20" s="5"/>
      <c r="C20" s="5"/>
      <c r="D20" s="5"/>
      <c r="E20" s="5"/>
      <c r="F20" s="5"/>
    </row>
    <row r="21" spans="1:8" x14ac:dyDescent="0.3">
      <c r="A21" s="6" t="s">
        <v>59</v>
      </c>
      <c r="B21" s="24">
        <f>1/(1+Cover_Assumptions!$B$10)^B19</f>
        <v>0.9174311926605504</v>
      </c>
      <c r="C21" s="24">
        <f>1/(1+Cover_Assumptions!$B$10)^C19</f>
        <v>0.84167999326655996</v>
      </c>
      <c r="D21" s="24">
        <f>1/(1+Cover_Assumptions!$B$10)^D19</f>
        <v>0.77218348006106419</v>
      </c>
      <c r="E21" s="24">
        <f>1/(1+Cover_Assumptions!$B$10)^E19</f>
        <v>0.7084252110651964</v>
      </c>
      <c r="F21" s="24">
        <f>1/(1+Cover_Assumptions!$B$10)^F19</f>
        <v>0.64993138629834524</v>
      </c>
    </row>
    <row r="22" spans="1:8" x14ac:dyDescent="0.3">
      <c r="A22" s="6" t="s">
        <v>61</v>
      </c>
      <c r="B22" s="21">
        <f>B17*B21</f>
        <v>1.0596330275229349E-2</v>
      </c>
      <c r="C22" s="21">
        <f t="shared" ref="C22:F22" si="6">C17*C21</f>
        <v>2.0376062620991498E-2</v>
      </c>
      <c r="D22" s="21">
        <f t="shared" si="6"/>
        <v>2.4488662416054026E-2</v>
      </c>
      <c r="E22" s="21">
        <f t="shared" si="6"/>
        <v>2.3545062579839165E-2</v>
      </c>
      <c r="F22" s="21">
        <f t="shared" si="6"/>
        <v>2.2637821636395734E-2</v>
      </c>
    </row>
    <row r="23" spans="1:8" x14ac:dyDescent="0.3">
      <c r="A23" s="6" t="s">
        <v>117</v>
      </c>
      <c r="B23" s="21">
        <f>B22</f>
        <v>1.0596330275229349E-2</v>
      </c>
      <c r="C23" s="21">
        <f>C22+B23</f>
        <v>3.0972392896220849E-2</v>
      </c>
      <c r="D23" s="21">
        <f t="shared" ref="D23:F23" si="7">D22+C23</f>
        <v>5.5461055312274875E-2</v>
      </c>
      <c r="E23" s="21">
        <f t="shared" si="7"/>
        <v>7.9006117892114036E-2</v>
      </c>
      <c r="F23" s="21">
        <f t="shared" si="7"/>
        <v>0.10164393952850977</v>
      </c>
    </row>
    <row r="24" spans="1:8" ht="15" thickBot="1" x14ac:dyDescent="0.35"/>
    <row r="25" spans="1:8" ht="16.2" thickBot="1" x14ac:dyDescent="0.35">
      <c r="A25" s="2" t="s">
        <v>72</v>
      </c>
      <c r="B25" s="26">
        <f>SUM(B22:F22)</f>
        <v>0.10164393952850977</v>
      </c>
    </row>
    <row r="28" spans="1:8" ht="15.6" x14ac:dyDescent="0.3">
      <c r="A28" s="4" t="s">
        <v>77</v>
      </c>
      <c r="B28" s="5"/>
      <c r="C28" s="5"/>
      <c r="D28" s="5"/>
      <c r="E28" s="5"/>
      <c r="F28" s="5"/>
      <c r="G28" s="5"/>
    </row>
    <row r="29" spans="1:8" x14ac:dyDescent="0.3">
      <c r="B29" s="15">
        <f>B25</f>
        <v>0.10164393952850977</v>
      </c>
      <c r="C29" s="10">
        <v>2.5000000000000001E-3</v>
      </c>
      <c r="D29" s="10">
        <v>5.0000000000000001E-3</v>
      </c>
      <c r="E29" s="10">
        <v>7.4999999999999997E-3</v>
      </c>
      <c r="F29" s="10">
        <v>0.01</v>
      </c>
      <c r="G29" s="10">
        <v>1.2500000000000001E-2</v>
      </c>
      <c r="H29" s="10">
        <v>1.4999999999999999E-2</v>
      </c>
    </row>
    <row r="30" spans="1:8" x14ac:dyDescent="0.3">
      <c r="B30" s="9">
        <v>0.05</v>
      </c>
      <c r="C30" s="32">
        <f>INDEX($G$40:$G$45,MATCH(C$29,$A$40:$A$45,0))*(1-$B30)</f>
        <v>3.6785425734127374E-2</v>
      </c>
      <c r="D30" s="32">
        <f t="shared" ref="D30:H35" si="8">INDEX($G$40:$G$45,MATCH(D$29,$A$40:$A$45,0))*(1-$B30)</f>
        <v>7.3570851468254678E-2</v>
      </c>
      <c r="E30" s="32">
        <f t="shared" si="8"/>
        <v>0.11035627720238203</v>
      </c>
      <c r="F30" s="32">
        <f t="shared" si="8"/>
        <v>0.14714170293650949</v>
      </c>
      <c r="G30" s="32">
        <f t="shared" si="8"/>
        <v>0.18392712867063676</v>
      </c>
      <c r="H30" s="32">
        <f t="shared" si="8"/>
        <v>0.22071255440476406</v>
      </c>
    </row>
    <row r="31" spans="1:8" x14ac:dyDescent="0.3">
      <c r="B31" s="9">
        <v>7.4999999999999997E-2</v>
      </c>
      <c r="C31" s="32">
        <f t="shared" ref="C31:C35" si="9">INDEX($G$40:$G$45,MATCH(C$29,$A$40:$A$45,0))*(1-$B31)</f>
        <v>3.5817388214808232E-2</v>
      </c>
      <c r="D31" s="32">
        <f t="shared" si="8"/>
        <v>7.1634776429616409E-2</v>
      </c>
      <c r="E31" s="32">
        <f t="shared" si="8"/>
        <v>0.10745216464442461</v>
      </c>
      <c r="F31" s="32">
        <f t="shared" si="8"/>
        <v>0.14326955285923293</v>
      </c>
      <c r="G31" s="32">
        <f t="shared" si="8"/>
        <v>0.17908694107404108</v>
      </c>
      <c r="H31" s="32">
        <f t="shared" si="8"/>
        <v>0.21490432928884923</v>
      </c>
    </row>
    <row r="32" spans="1:8" x14ac:dyDescent="0.3">
      <c r="B32" s="9">
        <v>0.1</v>
      </c>
      <c r="C32" s="32">
        <f t="shared" si="9"/>
        <v>3.4849350695489091E-2</v>
      </c>
      <c r="D32" s="32">
        <f t="shared" si="8"/>
        <v>6.9698701390978127E-2</v>
      </c>
      <c r="E32" s="32">
        <f t="shared" si="8"/>
        <v>0.1045480520864672</v>
      </c>
      <c r="F32" s="32">
        <f t="shared" si="8"/>
        <v>0.13939740278195636</v>
      </c>
      <c r="G32" s="32">
        <f t="shared" si="8"/>
        <v>0.17424675347744537</v>
      </c>
      <c r="H32" s="32">
        <f t="shared" si="8"/>
        <v>0.20909610417293439</v>
      </c>
    </row>
    <row r="33" spans="1:8" x14ac:dyDescent="0.3">
      <c r="B33" s="9">
        <v>0.125</v>
      </c>
      <c r="C33" s="32">
        <f t="shared" si="9"/>
        <v>3.388131317616995E-2</v>
      </c>
      <c r="D33" s="32">
        <f t="shared" si="8"/>
        <v>6.7762626352339844E-2</v>
      </c>
      <c r="E33" s="34">
        <f t="shared" si="8"/>
        <v>0.10164393952850977</v>
      </c>
      <c r="F33" s="32">
        <f t="shared" si="8"/>
        <v>0.1355252527046798</v>
      </c>
      <c r="G33" s="32">
        <f t="shared" si="8"/>
        <v>0.16940656588084968</v>
      </c>
      <c r="H33" s="32">
        <f t="shared" si="8"/>
        <v>0.20328787905701953</v>
      </c>
    </row>
    <row r="34" spans="1:8" x14ac:dyDescent="0.3">
      <c r="B34" s="9">
        <v>0.15</v>
      </c>
      <c r="C34" s="32">
        <f t="shared" si="9"/>
        <v>3.2913275656850809E-2</v>
      </c>
      <c r="D34" s="32">
        <f t="shared" si="8"/>
        <v>6.5826551313701548E-2</v>
      </c>
      <c r="E34" s="32">
        <f t="shared" si="8"/>
        <v>9.873982697055235E-2</v>
      </c>
      <c r="F34" s="32">
        <f t="shared" si="8"/>
        <v>0.13165310262740323</v>
      </c>
      <c r="G34" s="32">
        <f t="shared" si="8"/>
        <v>0.16456637828425397</v>
      </c>
      <c r="H34" s="32">
        <f t="shared" si="8"/>
        <v>0.1974796539411047</v>
      </c>
    </row>
    <row r="35" spans="1:8" x14ac:dyDescent="0.3">
      <c r="B35" s="9">
        <v>0.17499999999999999</v>
      </c>
      <c r="C35" s="32">
        <f t="shared" si="9"/>
        <v>3.1945238137531667E-2</v>
      </c>
      <c r="D35" s="32">
        <f t="shared" si="8"/>
        <v>6.3890476275063265E-2</v>
      </c>
      <c r="E35" s="32">
        <f t="shared" si="8"/>
        <v>9.5835714412594919E-2</v>
      </c>
      <c r="F35" s="32">
        <f t="shared" si="8"/>
        <v>0.12778095255012667</v>
      </c>
      <c r="G35" s="32">
        <f t="shared" si="8"/>
        <v>0.15972619068765825</v>
      </c>
      <c r="H35" s="32">
        <f t="shared" si="8"/>
        <v>0.19167142882518984</v>
      </c>
    </row>
    <row r="38" spans="1:8" ht="15.6" hidden="1" outlineLevel="1" x14ac:dyDescent="0.3">
      <c r="A38" s="4" t="s">
        <v>78</v>
      </c>
      <c r="B38" s="5"/>
      <c r="C38" s="5"/>
      <c r="D38" s="5"/>
      <c r="E38" s="5"/>
      <c r="F38" s="5"/>
      <c r="G38" s="5"/>
    </row>
    <row r="39" spans="1:8" hidden="1" outlineLevel="1" x14ac:dyDescent="0.3">
      <c r="A39" s="6" t="s">
        <v>79</v>
      </c>
      <c r="B39" s="6" t="s">
        <v>40</v>
      </c>
      <c r="C39" s="6" t="s">
        <v>41</v>
      </c>
      <c r="D39" s="6" t="s">
        <v>42</v>
      </c>
      <c r="E39" s="6" t="s">
        <v>43</v>
      </c>
      <c r="F39" s="6" t="s">
        <v>44</v>
      </c>
      <c r="G39" s="6" t="s">
        <v>76</v>
      </c>
    </row>
    <row r="40" spans="1:8" hidden="1" outlineLevel="1" x14ac:dyDescent="0.3">
      <c r="A40" s="10">
        <v>2.5000000000000001E-3</v>
      </c>
      <c r="B40" s="15">
        <f>B$8*($B$12+$A40*B$10)-B$13</f>
        <v>4.3999999999999595E-3</v>
      </c>
      <c r="C40" s="15">
        <f t="shared" ref="C40:F45" si="10">C$8*($B$12+$A40*C$10)-C$13</f>
        <v>9.222400000000075E-3</v>
      </c>
      <c r="D40" s="15">
        <f t="shared" si="10"/>
        <v>1.2081344000000049E-2</v>
      </c>
      <c r="E40" s="15">
        <f t="shared" si="10"/>
        <v>1.2661248512000012E-2</v>
      </c>
      <c r="F40" s="15">
        <f t="shared" si="10"/>
        <v>1.3268988440576002E-2</v>
      </c>
      <c r="G40" s="15">
        <f>SUMPRODUCT(B40:F40,$B$21:$F$21)</f>
        <v>3.8721500772765656E-2</v>
      </c>
    </row>
    <row r="41" spans="1:8" hidden="1" outlineLevel="1" x14ac:dyDescent="0.3">
      <c r="A41" s="10">
        <v>5.0000000000000001E-3</v>
      </c>
      <c r="B41" s="15">
        <f t="shared" ref="B41:B45" si="11">B$8*($B$12+$A41*B$10)-B$13</f>
        <v>8.80000000000003E-3</v>
      </c>
      <c r="C41" s="15">
        <f t="shared" si="10"/>
        <v>1.8444800000000039E-2</v>
      </c>
      <c r="D41" s="15">
        <f t="shared" si="10"/>
        <v>2.4162687999999988E-2</v>
      </c>
      <c r="E41" s="15">
        <f t="shared" si="10"/>
        <v>2.5322497024000024E-2</v>
      </c>
      <c r="F41" s="15">
        <f t="shared" si="10"/>
        <v>2.6537976881152003E-2</v>
      </c>
      <c r="G41" s="15">
        <f t="shared" ref="G41:G45" si="12">SUMPRODUCT(B41:F41,$B$21:$F$21)</f>
        <v>7.7443001545531243E-2</v>
      </c>
    </row>
    <row r="42" spans="1:8" hidden="1" outlineLevel="1" x14ac:dyDescent="0.3">
      <c r="A42" s="10">
        <v>7.4999999999999997E-3</v>
      </c>
      <c r="B42" s="15">
        <f t="shared" si="11"/>
        <v>1.319999999999999E-2</v>
      </c>
      <c r="C42" s="15">
        <f t="shared" si="10"/>
        <v>2.7667200000000003E-2</v>
      </c>
      <c r="D42" s="15">
        <f t="shared" si="10"/>
        <v>3.6244032000000037E-2</v>
      </c>
      <c r="E42" s="15">
        <f t="shared" si="10"/>
        <v>3.7983745536000146E-2</v>
      </c>
      <c r="F42" s="15">
        <f t="shared" si="10"/>
        <v>3.9806965321728005E-2</v>
      </c>
      <c r="G42" s="15">
        <f t="shared" si="12"/>
        <v>0.11616450231829688</v>
      </c>
    </row>
    <row r="43" spans="1:8" hidden="1" outlineLevel="1" x14ac:dyDescent="0.3">
      <c r="A43" s="10">
        <v>0.01</v>
      </c>
      <c r="B43" s="15">
        <f t="shared" si="11"/>
        <v>1.760000000000006E-2</v>
      </c>
      <c r="C43" s="15">
        <f t="shared" si="10"/>
        <v>3.6889600000000078E-2</v>
      </c>
      <c r="D43" s="15">
        <f t="shared" si="10"/>
        <v>4.8325376000000086E-2</v>
      </c>
      <c r="E43" s="15">
        <f t="shared" si="10"/>
        <v>5.0644994048000158E-2</v>
      </c>
      <c r="F43" s="15">
        <f t="shared" si="10"/>
        <v>5.3075953762304007E-2</v>
      </c>
      <c r="G43" s="15">
        <f t="shared" si="12"/>
        <v>0.15488600309106262</v>
      </c>
    </row>
    <row r="44" spans="1:8" hidden="1" outlineLevel="1" x14ac:dyDescent="0.3">
      <c r="A44" s="10">
        <v>1.2500000000000001E-2</v>
      </c>
      <c r="B44" s="15">
        <f t="shared" si="11"/>
        <v>2.200000000000002E-2</v>
      </c>
      <c r="C44" s="15">
        <f t="shared" si="10"/>
        <v>4.6112000000000042E-2</v>
      </c>
      <c r="D44" s="15">
        <f t="shared" si="10"/>
        <v>6.0406720000000025E-2</v>
      </c>
      <c r="E44" s="15">
        <f t="shared" si="10"/>
        <v>6.330624256000017E-2</v>
      </c>
      <c r="F44" s="15">
        <f t="shared" si="10"/>
        <v>6.6344942202880119E-2</v>
      </c>
      <c r="G44" s="15">
        <f t="shared" si="12"/>
        <v>0.19360750386382819</v>
      </c>
    </row>
    <row r="45" spans="1:8" hidden="1" outlineLevel="1" x14ac:dyDescent="0.3">
      <c r="A45" s="10">
        <v>1.4999999999999999E-2</v>
      </c>
      <c r="B45" s="15">
        <f t="shared" si="11"/>
        <v>2.6399999999999979E-2</v>
      </c>
      <c r="C45" s="15">
        <f t="shared" si="10"/>
        <v>5.5334400000000117E-2</v>
      </c>
      <c r="D45" s="15">
        <f t="shared" si="10"/>
        <v>7.2488064000000074E-2</v>
      </c>
      <c r="E45" s="15">
        <f t="shared" si="10"/>
        <v>7.5967491072000182E-2</v>
      </c>
      <c r="F45" s="15">
        <f t="shared" si="10"/>
        <v>7.961393064345601E-2</v>
      </c>
      <c r="G45" s="15">
        <f t="shared" si="12"/>
        <v>0.23232900463659376</v>
      </c>
    </row>
    <row r="46" spans="1:8" collapsed="1" x14ac:dyDescent="0.3"/>
  </sheetData>
  <phoneticPr fontId="8" type="noConversion"/>
  <conditionalFormatting sqref="C30:H35">
    <cfRule type="colorScale" priority="1">
      <colorScale>
        <cfvo type="min"/>
        <cfvo type="num" val="0.10199999999999999"/>
        <cfvo type="max"/>
        <color rgb="FFF8696B"/>
        <color rgb="FFFCFCFF"/>
        <color rgb="FF63BE7B"/>
      </colorScale>
    </cfRule>
  </conditionalFormatting>
  <dataValidations count="1">
    <dataValidation type="list" allowBlank="1" showInputMessage="1" showErrorMessage="1" sqref="B4" xr:uid="{9BD63E83-6E56-456A-8D37-816EE1761F15}">
      <formula1>"Base,Upside,Downside"</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1B17A-CA21-4A32-9644-24D1804DD0CB}">
  <dimension ref="A1:E25"/>
  <sheetViews>
    <sheetView workbookViewId="0">
      <selection activeCell="L20" sqref="L20"/>
    </sheetView>
  </sheetViews>
  <sheetFormatPr defaultRowHeight="14.4" x14ac:dyDescent="0.3"/>
  <cols>
    <col min="1" max="1" width="20.21875" customWidth="1"/>
    <col min="2" max="2" width="56.44140625" customWidth="1"/>
    <col min="3" max="3" width="15.77734375" customWidth="1"/>
    <col min="4" max="4" width="23.44140625" customWidth="1"/>
    <col min="5" max="5" width="9.44140625" customWidth="1"/>
  </cols>
  <sheetData>
    <row r="1" spans="1:5" ht="18" x14ac:dyDescent="0.35">
      <c r="A1" s="1" t="s">
        <v>80</v>
      </c>
    </row>
    <row r="2" spans="1:5" x14ac:dyDescent="0.3">
      <c r="A2" s="3" t="s">
        <v>81</v>
      </c>
    </row>
    <row r="4" spans="1:5" ht="15.6" x14ac:dyDescent="0.3">
      <c r="A4" s="4" t="s">
        <v>82</v>
      </c>
      <c r="B4" s="5"/>
      <c r="C4" s="5"/>
      <c r="D4" s="5"/>
      <c r="E4" s="5"/>
    </row>
    <row r="5" spans="1:5" x14ac:dyDescent="0.3">
      <c r="A5" s="6" t="s">
        <v>83</v>
      </c>
      <c r="B5" s="6" t="s">
        <v>84</v>
      </c>
      <c r="C5" s="6" t="s">
        <v>85</v>
      </c>
      <c r="D5" s="6" t="s">
        <v>86</v>
      </c>
      <c r="E5" s="6" t="s">
        <v>87</v>
      </c>
    </row>
    <row r="6" spans="1:5" x14ac:dyDescent="0.3">
      <c r="A6" s="39" t="s">
        <v>88</v>
      </c>
      <c r="B6" t="s">
        <v>89</v>
      </c>
      <c r="C6" t="s">
        <v>90</v>
      </c>
      <c r="D6" t="s">
        <v>91</v>
      </c>
      <c r="E6" t="s">
        <v>92</v>
      </c>
    </row>
    <row r="7" spans="1:5" x14ac:dyDescent="0.3">
      <c r="A7" s="39"/>
      <c r="B7" t="s">
        <v>93</v>
      </c>
      <c r="C7" t="s">
        <v>91</v>
      </c>
      <c r="D7" t="s">
        <v>94</v>
      </c>
      <c r="E7" t="s">
        <v>95</v>
      </c>
    </row>
    <row r="8" spans="1:5" x14ac:dyDescent="0.3">
      <c r="A8" s="39"/>
      <c r="B8" t="s">
        <v>96</v>
      </c>
      <c r="C8" t="s">
        <v>97</v>
      </c>
      <c r="D8" t="s">
        <v>98</v>
      </c>
      <c r="E8" t="s">
        <v>99</v>
      </c>
    </row>
    <row r="9" spans="1:5" x14ac:dyDescent="0.3">
      <c r="A9" s="39"/>
      <c r="B9" t="s">
        <v>100</v>
      </c>
      <c r="C9" t="s">
        <v>98</v>
      </c>
      <c r="D9" t="s">
        <v>90</v>
      </c>
      <c r="E9" t="s">
        <v>111</v>
      </c>
    </row>
    <row r="10" spans="1:5" x14ac:dyDescent="0.3">
      <c r="A10" s="39" t="s">
        <v>102</v>
      </c>
      <c r="B10" t="s">
        <v>103</v>
      </c>
      <c r="C10" t="s">
        <v>98</v>
      </c>
      <c r="D10" t="s">
        <v>90</v>
      </c>
      <c r="E10" t="s">
        <v>104</v>
      </c>
    </row>
    <row r="11" spans="1:5" x14ac:dyDescent="0.3">
      <c r="A11" s="39"/>
      <c r="B11" t="s">
        <v>105</v>
      </c>
      <c r="C11" t="s">
        <v>98</v>
      </c>
      <c r="D11" t="s">
        <v>90</v>
      </c>
      <c r="E11" t="s">
        <v>106</v>
      </c>
    </row>
    <row r="12" spans="1:5" x14ac:dyDescent="0.3">
      <c r="A12" s="39"/>
      <c r="B12" t="s">
        <v>107</v>
      </c>
      <c r="C12" t="s">
        <v>101</v>
      </c>
      <c r="D12" t="s">
        <v>90</v>
      </c>
      <c r="E12" t="s">
        <v>108</v>
      </c>
    </row>
    <row r="13" spans="1:5" x14ac:dyDescent="0.3">
      <c r="A13" s="39"/>
      <c r="B13" t="s">
        <v>109</v>
      </c>
      <c r="C13" t="s">
        <v>90</v>
      </c>
      <c r="D13" t="s">
        <v>94</v>
      </c>
      <c r="E13" t="s">
        <v>110</v>
      </c>
    </row>
    <row r="15" spans="1:5" x14ac:dyDescent="0.3">
      <c r="A15" t="s">
        <v>112</v>
      </c>
      <c r="B15" t="s">
        <v>113</v>
      </c>
      <c r="C15" t="s">
        <v>114</v>
      </c>
      <c r="D15" t="s">
        <v>115</v>
      </c>
      <c r="E15" t="s">
        <v>116</v>
      </c>
    </row>
    <row r="17" spans="1:5" ht="15.6" x14ac:dyDescent="0.3">
      <c r="A17" s="4" t="s">
        <v>118</v>
      </c>
      <c r="B17" s="5"/>
      <c r="C17" s="5"/>
    </row>
    <row r="18" spans="1:5" x14ac:dyDescent="0.3">
      <c r="A18" t="s">
        <v>119</v>
      </c>
      <c r="B18" t="s">
        <v>85</v>
      </c>
      <c r="C18" t="s">
        <v>86</v>
      </c>
    </row>
    <row r="19" spans="1:5" x14ac:dyDescent="0.3">
      <c r="A19" t="s">
        <v>15</v>
      </c>
      <c r="B19" s="33">
        <v>0.58899999999999997</v>
      </c>
      <c r="C19" s="33">
        <v>0.10199999999999999</v>
      </c>
    </row>
    <row r="20" spans="1:5" x14ac:dyDescent="0.3">
      <c r="A20" t="s">
        <v>16</v>
      </c>
      <c r="B20" s="33">
        <v>1.006</v>
      </c>
      <c r="C20" s="33">
        <v>0.20300000000000001</v>
      </c>
    </row>
    <row r="21" spans="1:5" x14ac:dyDescent="0.3">
      <c r="A21" t="s">
        <v>17</v>
      </c>
      <c r="B21" s="33">
        <v>0.25600000000000001</v>
      </c>
      <c r="C21" s="33">
        <v>3.4000000000000002E-2</v>
      </c>
    </row>
    <row r="22" spans="1:5" x14ac:dyDescent="0.3">
      <c r="A22" t="s">
        <v>120</v>
      </c>
      <c r="B22" s="36" t="s">
        <v>121</v>
      </c>
      <c r="C22" s="36"/>
    </row>
    <row r="24" spans="1:5" ht="15.6" x14ac:dyDescent="0.3">
      <c r="A24" s="4" t="s">
        <v>122</v>
      </c>
      <c r="B24" s="5"/>
      <c r="C24" s="5"/>
      <c r="D24" s="5"/>
      <c r="E24" s="5"/>
    </row>
    <row r="25" spans="1:5" ht="210.6" customHeight="1" x14ac:dyDescent="0.3">
      <c r="A25" s="40" t="s">
        <v>123</v>
      </c>
      <c r="B25" s="40"/>
      <c r="C25" s="40"/>
      <c r="D25" s="40"/>
      <c r="E25" s="40"/>
    </row>
  </sheetData>
  <mergeCells count="4">
    <mergeCell ref="A6:A9"/>
    <mergeCell ref="A10:A13"/>
    <mergeCell ref="B22:C22"/>
    <mergeCell ref="A25:E2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Cover_Assumptions</vt:lpstr>
      <vt:lpstr>Option_A_Tryptyr</vt:lpstr>
      <vt:lpstr>Option_B_LensExpansion</vt:lpstr>
      <vt:lpstr>Portfolio_Comparison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Cannon</dc:creator>
  <cp:lastModifiedBy>Chris Cannon</cp:lastModifiedBy>
  <dcterms:created xsi:type="dcterms:W3CDTF">2026-06-23T20:21:48Z</dcterms:created>
  <dcterms:modified xsi:type="dcterms:W3CDTF">2026-06-29T17:29:18Z</dcterms:modified>
</cp:coreProperties>
</file>